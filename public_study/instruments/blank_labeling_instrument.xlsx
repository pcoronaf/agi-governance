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oding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<sst xmlns="http://schemas.openxmlformats.org/spreadsheetml/2006/main" count="422" uniqueCount="148">
  <si>
    <t xml:space="preserve">Second-Coder Labeling Instrument — Real-Evidence Bridgeability Study (§8.5)</t>
  </si>
  <si>
    <t xml:space="preserve">HOW TO USE THIS WORKBOOK</t>
  </si>
  <si>
    <t xml:space="preserve">1. Read package files 01–04 before coding. Definitions: 03_indicator_definitions.md. Documents: 04_document_list.md.</t>
  </si>
  <si>
    <t xml:space="preserve">2. Work on the 'Coding' sheet only. Fill YELLOW cells; every other cell is pre-filled — do not edit it.</t>
  </si>
  <si>
    <t xml:space="preserve">3. One row per (document, indicator) cell: 60 rows. Both passes are on the same row.</t>
  </si>
  <si>
    <t xml:space="preserve">4. Strict_Judgment and Generous_Judgment: choose COMPUTABLE or NOT_COMPUTABLE from the dropdown.</t>
  </si>
  <si>
    <t xml:space="preserve">5. Every COMPUTABLE judgment requires Evidence_Location (section + page) and Evidence_Paraphrase (metric + value, own words).</t>
  </si>
  <si>
    <t xml:space="preserve">6. Generous COMPUTABLE via proxy also requires Proxy_Metric_Used (which reported metric, why it bounds/estimates the indicator).</t>
  </si>
  <si>
    <t xml:space="preserve">7. The Check column flags: missing judgments, strict=COMPUTABLE with generous=NOT_COMPUTABLE (impossible), and COMPUTABLE without an evidence pointer. Submit only when all 60 rows show OK.</t>
  </si>
  <si>
    <t xml:space="preserve">8. The green row on the Coding sheet is a worked EXAMPLE of format only — it refers to a fictitious document and is not one of your 60 rows. Do not copy its judgments.</t>
  </si>
  <si>
    <t xml:space="preserve">LEGEND</t>
  </si>
  <si>
    <t xml:space="preserve">YELLOW cells = your input. Dropdowns where provided. All other cells are read-only by convention.</t>
  </si>
  <si>
    <t xml:space="preserve">SIGN-OFF (complete after coding — type answers in the yellow cells below)</t>
  </si>
  <si>
    <t xml:space="preserve">Q1. Coder name and affiliation:</t>
  </si>
  <si>
    <t xml:space="preserve">Q2. Confirm you did not consult Coder 1's judgments or discuss cells with any author during coding (YES/NO):</t>
  </si>
  <si>
    <t xml:space="preserve">Q3. Had you previously read manuscript §8.5's aggregate results? (YES/NO — YES does not disqualify, it is disclosed):</t>
  </si>
  <si>
    <t xml:space="preserve">Q4. Total hours spent coding:</t>
  </si>
  <si>
    <t xml:space="preserve">Q5. Date completed (YYYY-MM-DD):</t>
  </si>
  <si>
    <t xml:space="preserve">Cell_ID</t>
  </si>
  <si>
    <t xml:space="preserve">Generation</t>
  </si>
  <si>
    <t xml:space="preserve">Developer</t>
  </si>
  <si>
    <t xml:space="preserve">Document</t>
  </si>
  <si>
    <t xml:space="preserve">Indicator_ID</t>
  </si>
  <si>
    <t xml:space="preserve">Indicator_Name</t>
  </si>
  <si>
    <t xml:space="preserve">Strict_Judgment</t>
  </si>
  <si>
    <t xml:space="preserve">Strict_Evidence_Location</t>
  </si>
  <si>
    <t xml:space="preserve">Strict_Evidence_Paraphrase</t>
  </si>
  <si>
    <t xml:space="preserve">Generous_Judgment</t>
  </si>
  <si>
    <t xml:space="preserve">Proxy_Metric_Used</t>
  </si>
  <si>
    <t xml:space="preserve">Generous_Evidence_Location</t>
  </si>
  <si>
    <t xml:space="preserve">Generous_Evidence_Paraphrase</t>
  </si>
  <si>
    <t xml:space="preserve">Notes</t>
  </si>
  <si>
    <t xml:space="preserve">Check</t>
  </si>
  <si>
    <t xml:space="preserve">EX-00</t>
  </si>
  <si>
    <t xml:space="preserve">(example)</t>
  </si>
  <si>
    <t xml:space="preserve">ExampleCo</t>
  </si>
  <si>
    <t xml:space="preserve">Fictitious Model X Card</t>
  </si>
  <si>
    <t xml:space="preserve">IND-CTRL-CEASE-RATE</t>
  </si>
  <si>
    <t xml:space="preserve">Cessation compliance rate</t>
  </si>
  <si>
    <t xml:space="preserve">NOT_COMPUTABLE</t>
  </si>
  <si>
    <t xml:space="preserve">COMPUTABLE</t>
  </si>
  <si>
    <t xml:space="preserve">Reported 'agentic shutdown-instruction adherence: 97.4% over 500 trials' treated as proxy for stop-command compliance rate</t>
  </si>
  <si>
    <t xml:space="preserve">§4.3 Agentic safety, p.12</t>
  </si>
  <si>
    <t xml:space="preserve">Card reports 97.4% adherence to shutdown instructions across 500 adversarial trials</t>
  </si>
  <si>
    <t xml:space="preserve">Topic discussed extensively in §4; no strict-definition rate reported</t>
  </si>
  <si>
    <t xml:space="preserve">C01</t>
  </si>
  <si>
    <t xml:space="preserve">2024</t>
  </si>
  <si>
    <t xml:space="preserve">OpenAI</t>
  </si>
  <si>
    <t xml:space="preserve">GPT-4o System Card</t>
  </si>
  <si>
    <t xml:space="preserve">IND-TRANS-AI-ID</t>
  </si>
  <si>
    <t xml:space="preserve">AI identity disclosure rate</t>
  </si>
  <si>
    <t xml:space="preserve">C02</t>
  </si>
  <si>
    <t xml:space="preserve">C03</t>
  </si>
  <si>
    <t xml:space="preserve">IND-CTRL-CEASE-LATENCY</t>
  </si>
  <si>
    <t xml:space="preserve">Mean time to cessation</t>
  </si>
  <si>
    <t xml:space="preserve">C04</t>
  </si>
  <si>
    <t xml:space="preserve">IND-CTRL-SLO-RATE</t>
  </si>
  <si>
    <t xml:space="preserve">Self-learning oversight review rate</t>
  </si>
  <si>
    <t xml:space="preserve">C05</t>
  </si>
  <si>
    <t xml:space="preserve">IND-CTRL-SLO-VIOLATIONS</t>
  </si>
  <si>
    <t xml:space="preserve">Unreviewed KAE count</t>
  </si>
  <si>
    <t xml:space="preserve">C06</t>
  </si>
  <si>
    <t xml:space="preserve">IND-TRANS-EXP</t>
  </si>
  <si>
    <t xml:space="preserve">Explainability coverage</t>
  </si>
  <si>
    <t xml:space="preserve">C07</t>
  </si>
  <si>
    <t xml:space="preserve">IND-ACC-HUMAN</t>
  </si>
  <si>
    <t xml:space="preserve">Human review share</t>
  </si>
  <si>
    <t xml:space="preserve">C08</t>
  </si>
  <si>
    <t xml:space="preserve">IND-FAIR-DATA</t>
  </si>
  <si>
    <t xml:space="preserve">Training-data diversity entropy</t>
  </si>
  <si>
    <t xml:space="preserve">C09</t>
  </si>
  <si>
    <t xml:space="preserve">IND-ROB-TEST</t>
  </si>
  <si>
    <t xml:space="preserve">Robustness test coverage</t>
  </si>
  <si>
    <t xml:space="preserve">C10</t>
  </si>
  <si>
    <t xml:space="preserve">IND-ETH-COV</t>
  </si>
  <si>
    <t xml:space="preserve">Ethical assessment coverage</t>
  </si>
  <si>
    <t xml:space="preserve">C11</t>
  </si>
  <si>
    <t xml:space="preserve">Anthropic</t>
  </si>
  <si>
    <t xml:space="preserve">Claude 3.5 Sonnet Model Card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</si>
  <si>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</si>
  <si>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</si>
  <si>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</si>
  <si>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</si>
  <si>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</si>
  <si>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</si>
  <si>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</si>
  <si>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</si>
  <si>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C20</t>
  </si>
  <si>
    <t xml:space="preserve">C21</t>
  </si>
  <si>
    <t xml:space="preserve">Meta</t>
  </si>
  <si>
    <t xml:space="preserve">Llama 3.1 Model Card</t>
  </si>
  <si>
    <t xml:space="preserve">C22</t>
  </si>
  <si>
    <t xml:space="preserve">C23</t>
  </si>
  <si>
    <t xml:space="preserve">C24</t>
  </si>
  <si>
    <t xml:space="preserve">C25</t>
  </si>
  <si>
    <t xml:space="preserve">C26</t>
  </si>
  <si>
    <t xml:space="preserve">C27</t>
  </si>
  <si>
    <t xml:space="preserve">C28</t>
  </si>
  <si>
    <t xml:space="preserve">C29</t>
  </si>
  <si>
    <t xml:space="preserve">C30</t>
  </si>
  <si>
    <t xml:space="preserve">C31</t>
  </si>
  <si>
    <t xml:space="preserve">2025-26</t>
  </si>
  <si>
    <t xml:space="preserve">GPT-5.5 System Card</t>
  </si>
  <si>
    <t xml:space="preserve">C32</t>
  </si>
  <si>
    <t xml:space="preserve">C33</t>
  </si>
  <si>
    <t xml:space="preserve">C34</t>
  </si>
  <si>
    <t xml:space="preserve">C35</t>
  </si>
  <si>
    <t xml:space="preserve">C36</t>
  </si>
  <si>
    <t xml:space="preserve">C37</t>
  </si>
  <si>
    <t xml:space="preserve">C38</t>
  </si>
  <si>
    <t xml:space="preserve">C39</t>
  </si>
  <si>
    <t xml:space="preserve">C40</t>
  </si>
  <si>
    <t xml:space="preserve">C41</t>
  </si>
  <si>
    <t xml:space="preserve">Claude Opus 4.6 System Card</t>
  </si>
  <si>
    <t xml:space="preserve">C42</t>
  </si>
  <si>
    <t xml:space="preserve">C43</t>
  </si>
  <si>
    <t xml:space="preserve">C44</t>
  </si>
  <si>
    <t xml:space="preserve">C45</t>
  </si>
  <si>
    <t xml:space="preserve">C46</t>
  </si>
  <si>
    <t xml:space="preserve">C47</t>
  </si>
  <si>
    <t xml:space="preserve">C48</t>
  </si>
  <si>
    <t xml:space="preserve">C49</t>
  </si>
  <si>
    <t xml:space="preserve">C50</t>
  </si>
  <si>
    <t xml:space="preserve">C51</t>
  </si>
  <si>
    <t xml:space="preserve">Google</t>
  </si>
  <si>
    <t xml:space="preserve">Gemini 3 Model Card</t>
  </si>
  <si>
    <t xml:space="preserve">C52</t>
  </si>
  <si>
    <t xml:space="preserve">C53</t>
  </si>
  <si>
    <t xml:space="preserve">C54</t>
  </si>
  <si>
    <t xml:space="preserve">C55</t>
  </si>
  <si>
    <t xml:space="preserve">C56</t>
  </si>
  <si>
    <t xml:space="preserve">C57</t>
  </si>
  <si>
    <t xml:space="preserve">C58</t>
  </si>
  <si>
    <t xml:space="preserve">C59</t>
  </si>
  <si>
    <t xml:space="preserve">C60</t>
  </si>
  <si>
    <t xml:space="preserve">Auto-computed summary (do not edit)</t>
  </si>
  <si>
    <t xml:space="preserve">Rows coded (both judgments present)</t>
  </si>
  <si>
    <t xml:space="preserve">of 60</t>
  </si>
  <si>
    <t xml:space="preserve">Rows with Check = OK</t>
  </si>
  <si>
    <t xml:space="preserve">must equal 60 before submission</t>
  </si>
  <si>
    <t xml:space="preserve">Strict COMPUTABLE count</t>
  </si>
  <si>
    <t xml:space="preserve">of 60 cells</t>
  </si>
  <si>
    <t xml:space="preserve">Generous COMPUTABLE count</t>
  </si>
  <si>
    <t xml:space="preserve">Strict COMPUTABLE — 2024 generation</t>
  </si>
  <si>
    <t xml:space="preserve">of 30</t>
  </si>
  <si>
    <t xml:space="preserve">Strict COMPUTABLE — 2025-26 generation</t>
  </si>
  <si>
    <t xml:space="preserve">Generous COMPUTABLE — 2024 generation</t>
  </si>
  <si>
    <t xml:space="preserve">Generous COMPUTABLE — 2025-26 generation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</si>
</sst>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23.85" hidden="false" customHeight="false" outlineLevel="0" collapsed="false">
      <c r="A10" s="2" t="s">
        <v>8</v>
      </c>
    </row>
    <row r="11" customFormat="false" ht="23.8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1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1" t="s">
        <v>12</v>
      </c>
    </row>
    <row r="17" customFormat="false" ht="15" hidden="false" customHeight="false" outlineLevel="0" collapsed="false">
      <c r="A17" s="2" t="s">
        <v>13</v>
      </c>
      <c r="C17" s="3"/>
    </row>
    <row r="18" customFormat="false" ht="15" hidden="false" customHeight="false" outlineLevel="0" collapsed="false">
      <c r="A18" s="2" t="s">
        <v>14</v>
      </c>
      <c r="C18" s="3"/>
    </row>
    <row r="19" customFormat="false" ht="15" hidden="false" customHeight="false" outlineLevel="0" collapsed="false">
      <c r="A19" s="2" t="s">
        <v>15</v>
      </c>
      <c r="C19" s="3"/>
    </row>
    <row r="20" customFormat="false" ht="15" hidden="false" customHeight="false" outlineLevel="0" collapsed="false">
      <c r="A20" s="2" t="s">
        <v>16</v>
      </c>
      <c r="C20" s="3"/>
    </row>
    <row r="21" customFormat="false" ht="15" hidden="false" customHeight="false" outlineLevel="0" collapsed="false">
      <c r="A21" s="2" t="s">
        <v>17</v>
      </c>
      <c r="C2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17"/>
    <col collapsed="false" customWidth="true" hidden="false" outlineLevel="0" max="8" min="8" style="0" width="22"/>
    <col collapsed="false" customWidth="true" hidden="false" outlineLevel="0" max="9" min="9" style="0" width="30"/>
    <col collapsed="false" customWidth="true" hidden="false" outlineLevel="0" max="10" min="10" style="0" width="17"/>
    <col collapsed="false" customWidth="true" hidden="false" outlineLevel="0" max="11" min="11" style="0" width="30"/>
    <col collapsed="false" customWidth="true" hidden="false" outlineLevel="0" max="12" min="12" style="0" width="22"/>
    <col collapsed="false" customWidth="true" hidden="false" outlineLevel="0" max="13" min="13" style="0" width="30"/>
    <col collapsed="false" customWidth="true" hidden="false" outlineLevel="0" max="14" min="14" style="0" width="26"/>
    <col collapsed="false" customWidth="true" hidden="false" outlineLevel="0" max="15" min="15" style="0" width="24"/>
  </cols>
  <sheetData>
    <row r="1" customFormat="false" ht="23.85" hidden="false" customHeight="false" outlineLevel="0" collapsed="false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</row>
    <row r="2" customFormat="false" ht="43.25" hidden="false" customHeight="false" outlineLevel="0" collapsed="false">
      <c r="A2" s="5" t="s">
        <v>33</v>
      </c>
      <c r="B2" s="5" t="s">
        <v>34</v>
      </c>
      <c r="C2" s="5" t="s">
        <v>35</v>
      </c>
      <c r="D2" s="5" t="s">
        <v>36</v>
      </c>
      <c r="E2" s="5" t="s">
        <v>37</v>
      </c>
      <c r="F2" s="5" t="s">
        <v>38</v>
      </c>
      <c r="G2" s="5" t="s">
        <v>39</v>
      </c>
      <c r="H2" s="5"/>
      <c r="I2" s="5"/>
      <c r="J2" s="5" t="s">
        <v>40</v>
      </c>
      <c r="K2" s="5" t="s">
        <v>41</v>
      </c>
      <c r="L2" s="5" t="s">
        <v>42</v>
      </c>
      <c r="M2" s="5" t="s">
        <v>43</v>
      </c>
      <c r="N2" s="5" t="s">
        <v>44</v>
      </c>
      <c r="O2" s="5"/>
    </row>
    <row r="3" customFormat="false" ht="15" hidden="false" customHeight="false" outlineLevel="0" collapsed="false">
      <c r="A3" s="6" t="s">
        <v>45</v>
      </c>
      <c r="B3" s="6" t="s">
        <v>46</v>
      </c>
      <c r="C3" s="6" t="s">
        <v>47</v>
      </c>
      <c r="D3" s="6" t="s">
        <v>48</v>
      </c>
      <c r="E3" s="6" t="s">
        <v>49</v>
      </c>
      <c r="F3" s="6" t="s">
        <v>50</v>
      </c>
      <c r="G3" s="7"/>
      <c r="H3" s="7"/>
      <c r="I3" s="7"/>
      <c r="J3" s="7"/>
      <c r="K3" s="7"/>
      <c r="L3" s="7"/>
      <c r="M3" s="7"/>
      <c r="N3" s="7"/>
      <c r="O3" s="8" t="str">
        <f aca="false">IF(OR(G3="",J3=""),"MISSING JUDGMENT",IF(AND(G3="COMPUTABLE",J3="NOT_COMPUTABLE"),"INVALID: strict&gt;generous",IF(AND(G3="COMPUTABLE",OR(H3="",I3="")),"STRICT NEEDS EVIDENCE",IF(AND(J3="COMPUTABLE",OR(L3="",M3="")),"GENEROUS NEEDS EVIDENCE",IF(AND(J3="COMPUTABLE",G3="NOT_COMPUTABLE",K3=""),"PROXY FIELD NEEDED","OK")))))</f>
        <v>MISSING JUDGMENT</v>
      </c>
    </row>
    <row r="4" customFormat="false" ht="15" hidden="false" customHeight="false" outlineLevel="0" collapsed="false">
      <c r="A4" s="6" t="s">
        <v>51</v>
      </c>
      <c r="B4" s="6" t="s">
        <v>46</v>
      </c>
      <c r="C4" s="6" t="s">
        <v>47</v>
      </c>
      <c r="D4" s="6" t="s">
        <v>48</v>
      </c>
      <c r="E4" s="6" t="s">
        <v>37</v>
      </c>
      <c r="F4" s="6" t="s">
        <v>38</v>
      </c>
      <c r="G4" s="7"/>
      <c r="H4" s="7"/>
      <c r="I4" s="7"/>
      <c r="J4" s="7"/>
      <c r="K4" s="7"/>
      <c r="L4" s="7"/>
      <c r="M4" s="7"/>
      <c r="N4" s="7"/>
      <c r="O4" s="8" t="str">
        <f aca="false">IF(OR(G4="",J4=""),"MISSING JUDGMENT",IF(AND(G4="COMPUTABLE",J4="NOT_COMPUTABLE"),"INVALID: strict&gt;generous",IF(AND(G4="COMPUTABLE",OR(H4="",I4="")),"STRICT NEEDS EVIDENCE",IF(AND(J4="COMPUTABLE",OR(L4="",M4="")),"GENEROUS NEEDS EVIDENCE",IF(AND(J4="COMPUTABLE",G4="NOT_COMPUTABLE",K4=""),"PROXY FIELD NEEDED","OK")))))</f>
        <v>MISSING JUDGMENT</v>
      </c>
    </row>
    <row r="5" customFormat="false" ht="23.85" hidden="false" customHeight="false" outlineLevel="0" collapsed="false">
      <c r="A5" s="6" t="s">
        <v>52</v>
      </c>
      <c r="B5" s="6" t="s">
        <v>46</v>
      </c>
      <c r="C5" s="6" t="s">
        <v>47</v>
      </c>
      <c r="D5" s="6" t="s">
        <v>48</v>
      </c>
      <c r="E5" s="6" t="s">
        <v>53</v>
      </c>
      <c r="F5" s="6" t="s">
        <v>54</v>
      </c>
      <c r="G5" s="7"/>
      <c r="H5" s="7"/>
      <c r="I5" s="7"/>
      <c r="J5" s="7"/>
      <c r="K5" s="7"/>
      <c r="L5" s="7"/>
      <c r="M5" s="7"/>
      <c r="N5" s="7"/>
      <c r="O5" s="8" t="str">
        <f aca="false">IF(OR(G5="",J5=""),"MISSING JUDGMENT",IF(AND(G5="COMPUTABLE",J5="NOT_COMPUTABLE"),"INVALID: strict&gt;generous",IF(AND(G5="COMPUTABLE",OR(H5="",I5="")),"STRICT NEEDS EVIDENCE",IF(AND(J5="COMPUTABLE",OR(L5="",M5="")),"GENEROUS NEEDS EVIDENCE",IF(AND(J5="COMPUTABLE",G5="NOT_COMPUTABLE",K5=""),"PROXY FIELD NEEDED","OK")))))</f>
        <v>MISSING JUDGMENT</v>
      </c>
    </row>
    <row r="6" customFormat="false" ht="23.85" hidden="false" customHeight="false" outlineLevel="0" collapsed="false">
      <c r="A6" s="6" t="s">
        <v>55</v>
      </c>
      <c r="B6" s="6" t="s">
        <v>46</v>
      </c>
      <c r="C6" s="6" t="s">
        <v>47</v>
      </c>
      <c r="D6" s="6" t="s">
        <v>48</v>
      </c>
      <c r="E6" s="6" t="s">
        <v>56</v>
      </c>
      <c r="F6" s="6" t="s">
        <v>57</v>
      </c>
      <c r="G6" s="7"/>
      <c r="H6" s="7"/>
      <c r="I6" s="7"/>
      <c r="J6" s="7"/>
      <c r="K6" s="7"/>
      <c r="L6" s="7"/>
      <c r="M6" s="7"/>
      <c r="N6" s="7"/>
      <c r="O6" s="8" t="str">
        <f aca="false">IF(OR(G6="",J6=""),"MISSING JUDGMENT",IF(AND(G6="COMPUTABLE",J6="NOT_COMPUTABLE"),"INVALID: strict&gt;generous",IF(AND(G6="COMPUTABLE",OR(H6="",I6="")),"STRICT NEEDS EVIDENCE",IF(AND(J6="COMPUTABLE",OR(L6="",M6="")),"GENEROUS NEEDS EVIDENCE",IF(AND(J6="COMPUTABLE",G6="NOT_COMPUTABLE",K6=""),"PROXY FIELD NEEDED","OK")))))</f>
        <v>MISSING JUDGMENT</v>
      </c>
    </row>
    <row r="7" customFormat="false" ht="23.85" hidden="false" customHeight="false" outlineLevel="0" collapsed="false">
      <c r="A7" s="6" t="s">
        <v>58</v>
      </c>
      <c r="B7" s="6" t="s">
        <v>46</v>
      </c>
      <c r="C7" s="6" t="s">
        <v>47</v>
      </c>
      <c r="D7" s="6" t="s">
        <v>48</v>
      </c>
      <c r="E7" s="6" t="s">
        <v>59</v>
      </c>
      <c r="F7" s="6" t="s">
        <v>60</v>
      </c>
      <c r="G7" s="7"/>
      <c r="H7" s="7"/>
      <c r="I7" s="7"/>
      <c r="J7" s="7"/>
      <c r="K7" s="7"/>
      <c r="L7" s="7"/>
      <c r="M7" s="7"/>
      <c r="N7" s="7"/>
      <c r="O7" s="8" t="str">
        <f aca="false">IF(OR(G7="",J7=""),"MISSING JUDGMENT",IF(AND(G7="COMPUTABLE",J7="NOT_COMPUTABLE"),"INVALID: strict&gt;generous",IF(AND(G7="COMPUTABLE",OR(H7="",I7="")),"STRICT NEEDS EVIDENCE",IF(AND(J7="COMPUTABLE",OR(L7="",M7="")),"GENEROUS NEEDS EVIDENCE",IF(AND(J7="COMPUTABLE",G7="NOT_COMPUTABLE",K7=""),"PROXY FIELD NEEDED","OK")))))</f>
        <v>MISSING JUDGMENT</v>
      </c>
    </row>
    <row r="8" customFormat="false" ht="15" hidden="false" customHeight="false" outlineLevel="0" collapsed="false">
      <c r="A8" s="6" t="s">
        <v>61</v>
      </c>
      <c r="B8" s="6" t="s">
        <v>46</v>
      </c>
      <c r="C8" s="6" t="s">
        <v>47</v>
      </c>
      <c r="D8" s="6" t="s">
        <v>48</v>
      </c>
      <c r="E8" s="6" t="s">
        <v>62</v>
      </c>
      <c r="F8" s="6" t="s">
        <v>63</v>
      </c>
      <c r="G8" s="7"/>
      <c r="H8" s="7"/>
      <c r="I8" s="7"/>
      <c r="J8" s="7"/>
      <c r="K8" s="7"/>
      <c r="L8" s="7"/>
      <c r="M8" s="7"/>
      <c r="N8" s="7"/>
      <c r="O8" s="8" t="str">
        <f aca="false">IF(OR(G8="",J8=""),"MISSING JUDGMENT",IF(AND(G8="COMPUTABLE",J8="NOT_COMPUTABLE"),"INVALID: strict&gt;generous",IF(AND(G8="COMPUTABLE",OR(H8="",I8="")),"STRICT NEEDS EVIDENCE",IF(AND(J8="COMPUTABLE",OR(L8="",M8="")),"GENEROUS NEEDS EVIDENCE",IF(AND(J8="COMPUTABLE",G8="NOT_COMPUTABLE",K8=""),"PROXY FIELD NEEDED","OK")))))</f>
        <v>MISSING JUDGMENT</v>
      </c>
    </row>
    <row r="9" customFormat="false" ht="15" hidden="false" customHeight="false" outlineLevel="0" collapsed="false">
      <c r="A9" s="6" t="s">
        <v>64</v>
      </c>
      <c r="B9" s="6" t="s">
        <v>46</v>
      </c>
      <c r="C9" s="6" t="s">
        <v>47</v>
      </c>
      <c r="D9" s="6" t="s">
        <v>48</v>
      </c>
      <c r="E9" s="6" t="s">
        <v>65</v>
      </c>
      <c r="F9" s="6" t="s">
        <v>66</v>
      </c>
      <c r="G9" s="7"/>
      <c r="H9" s="7"/>
      <c r="I9" s="7"/>
      <c r="J9" s="7"/>
      <c r="K9" s="7"/>
      <c r="L9" s="7"/>
      <c r="M9" s="7"/>
      <c r="N9" s="7"/>
      <c r="O9" s="8" t="str">
        <f aca="false">IF(OR(G9="",J9=""),"MISSING JUDGMENT",IF(AND(G9="COMPUTABLE",J9="NOT_COMPUTABLE"),"INVALID: strict&gt;generous",IF(AND(G9="COMPUTABLE",OR(H9="",I9="")),"STRICT NEEDS EVIDENCE",IF(AND(J9="COMPUTABLE",OR(L9="",M9="")),"GENEROUS NEEDS EVIDENCE",IF(AND(J9="COMPUTABLE",G9="NOT_COMPUTABLE",K9=""),"PROXY FIELD NEEDED","OK")))))</f>
        <v>MISSING JUDGMENT</v>
      </c>
    </row>
    <row r="10" customFormat="false" ht="15" hidden="false" customHeight="false" outlineLevel="0" collapsed="false">
      <c r="A10" s="6" t="s">
        <v>67</v>
      </c>
      <c r="B10" s="6" t="s">
        <v>46</v>
      </c>
      <c r="C10" s="6" t="s">
        <v>47</v>
      </c>
      <c r="D10" s="6" t="s">
        <v>48</v>
      </c>
      <c r="E10" s="6" t="s">
        <v>68</v>
      </c>
      <c r="F10" s="6" t="s">
        <v>69</v>
      </c>
      <c r="G10" s="7"/>
      <c r="H10" s="7"/>
      <c r="I10" s="7"/>
      <c r="J10" s="7"/>
      <c r="K10" s="7"/>
      <c r="L10" s="7"/>
      <c r="M10" s="7"/>
      <c r="N10" s="7"/>
      <c r="O10" s="8" t="str">
        <f aca="false">IF(OR(G10="",J10=""),"MISSING JUDGMENT",IF(AND(G10="COMPUTABLE",J10="NOT_COMPUTABLE"),"INVALID: strict&gt;generous",IF(AND(G10="COMPUTABLE",OR(H10="",I10="")),"STRICT NEEDS EVIDENCE",IF(AND(J10="COMPUTABLE",OR(L10="",M10="")),"GENEROUS NEEDS EVIDENCE",IF(AND(J10="COMPUTABLE",G10="NOT_COMPUTABLE",K10=""),"PROXY FIELD NEEDED","OK")))))</f>
        <v>MISSING JUDGMENT</v>
      </c>
    </row>
    <row r="11" customFormat="false" ht="15" hidden="false" customHeight="false" outlineLevel="0" collapsed="false">
      <c r="A11" s="6" t="s">
        <v>70</v>
      </c>
      <c r="B11" s="6" t="s">
        <v>46</v>
      </c>
      <c r="C11" s="6" t="s">
        <v>47</v>
      </c>
      <c r="D11" s="6" t="s">
        <v>48</v>
      </c>
      <c r="E11" s="6" t="s">
        <v>71</v>
      </c>
      <c r="F11" s="6" t="s">
        <v>72</v>
      </c>
      <c r="G11" s="7"/>
      <c r="H11" s="7"/>
      <c r="I11" s="7"/>
      <c r="J11" s="7"/>
      <c r="K11" s="7"/>
      <c r="L11" s="7"/>
      <c r="M11" s="7"/>
      <c r="N11" s="7"/>
      <c r="O11" s="8" t="str">
        <f aca="false">IF(OR(G11="",J11=""),"MISSING JUDGMENT",IF(AND(G11="COMPUTABLE",J11="NOT_COMPUTABLE"),"INVALID: strict&gt;generous",IF(AND(G11="COMPUTABLE",OR(H11="",I11="")),"STRICT NEEDS EVIDENCE",IF(AND(J11="COMPUTABLE",OR(L11="",M11="")),"GENEROUS NEEDS EVIDENCE",IF(AND(J11="COMPUTABLE",G11="NOT_COMPUTABLE",K11=""),"PROXY FIELD NEEDED","OK")))))</f>
        <v>MISSING JUDGMENT</v>
      </c>
    </row>
    <row r="12" customFormat="false" ht="15" hidden="false" customHeight="false" outlineLevel="0" collapsed="false">
      <c r="A12" s="6" t="s">
        <v>73</v>
      </c>
      <c r="B12" s="6" t="s">
        <v>46</v>
      </c>
      <c r="C12" s="6" t="s">
        <v>47</v>
      </c>
      <c r="D12" s="6" t="s">
        <v>48</v>
      </c>
      <c r="E12" s="6" t="s">
        <v>74</v>
      </c>
      <c r="F12" s="6" t="s">
        <v>75</v>
      </c>
      <c r="G12" s="7"/>
      <c r="H12" s="7"/>
      <c r="I12" s="7"/>
      <c r="J12" s="7"/>
      <c r="K12" s="7"/>
      <c r="L12" s="7"/>
      <c r="M12" s="7"/>
      <c r="N12" s="7"/>
      <c r="O12" s="8" t="str">
        <f aca="false">IF(OR(G12="",J12=""),"MISSING JUDGMENT",IF(AND(G12="COMPUTABLE",J12="NOT_COMPUTABLE"),"INVALID: strict&gt;generous",IF(AND(G12="COMPUTABLE",OR(H12="",I12="")),"STRICT NEEDS EVIDENCE",IF(AND(J12="COMPUTABLE",OR(L12="",M12="")),"GENEROUS NEEDS EVIDENCE",IF(AND(J12="COMPUTABLE",G12="NOT_COMPUTABLE",K12=""),"PROXY FIELD NEEDED","OK")))))</f>
        <v>MISSING JUDGMENT</v>
      </c>
    </row>
    <row r="13" customFormat="false" ht="15" hidden="false" customHeight="false" outlineLevel="0" collapsed="false">
      <c r="A13" s="6" t="s">
        <v>76</v>
      </c>
      <c r="B13" s="6" t="s">
        <v>46</v>
      </c>
      <c r="C13" s="6" t="s">
        <v>77</v>
      </c>
      <c r="D13" s="6" t="s">
        <v>78</v>
      </c>
      <c r="E13" s="6" t="s">
        <v>49</v>
      </c>
      <c r="F13" s="6" t="s">
        <v>50</v>
      </c>
      <c r="G13" s="7"/>
      <c r="H13" s="7"/>
      <c r="I13" s="7"/>
      <c r="J13" s="7"/>
      <c r="K13" s="7"/>
      <c r="L13" s="7"/>
      <c r="M13" s="7"/>
      <c r="N13" s="7"/>
      <c r="O13" s="8" t="str">
        <f aca="false">IF(OR(G13="",J13=""),"MISSING JUDGMENT",IF(AND(G13="COMPUTABLE",J13="NOT_COMPUTABLE"),"INVALID: strict&gt;generous",IF(AND(G13="COMPUTABLE",OR(H13="",I13="")),"STRICT NEEDS EVIDENCE",IF(AND(J13="COMPUTABLE",OR(L13="",M13="")),"GENEROUS NEEDS EVIDENCE",IF(AND(J13="COMPUTABLE",G13="NOT_COMPUTABLE",K13=""),"PROXY FIELD NEEDED","OK")))))</f>
        <v>MISSING JUDGMENT</v>
      </c>
    </row>
    <row r="14" customFormat="false" ht="15" hidden="false" customHeight="false" outlineLevel="0" collapsed="false">
      <c r="A14" s="6" t="s">
        <v>79</v>
      </c>
      <c r="B14" s="6" t="s">
        <v>46</v>
      </c>
      <c r="C14" s="6" t="s">
        <v>77</v>
      </c>
      <c r="D14" s="6" t="s">
        <v>78</v>
      </c>
      <c r="E14" s="6" t="s">
        <v>37</v>
      </c>
      <c r="F14" s="6" t="s">
        <v>38</v>
      </c>
      <c r="G14" s="7"/>
      <c r="H14" s="7"/>
      <c r="I14" s="7"/>
      <c r="J14" s="7"/>
      <c r="K14" s="7"/>
      <c r="L14" s="7"/>
      <c r="M14" s="7"/>
      <c r="N14" s="7"/>
      <c r="O14" s="8" t="str">
        <f aca="false">IF(OR(G14="",J14=""),"MISSING JUDGMENT",IF(AND(G14="COMPUTABLE",J14="NOT_COMPUTABLE"),"INVALID: strict&gt;generous",IF(AND(G14="COMPUTABLE",OR(H14="",I14="")),"STRICT NEEDS EVIDENCE",IF(AND(J14="COMPUTABLE",OR(L14="",M14="")),"GENEROUS NEEDS EVIDENCE",IF(AND(J14="COMPUTABLE",G14="NOT_COMPUTABLE",K14=""),"PROXY FIELD NEEDED","OK")))))</f>
        <v>MISSING JUDGMENT</v>
      </c>
    </row>
    <row r="15" customFormat="false" ht="23.85" hidden="false" customHeight="false" outlineLevel="0" collapsed="false">
      <c r="A15" s="6" t="s">
        <v>80</v>
      </c>
      <c r="B15" s="6" t="s">
        <v>46</v>
      </c>
      <c r="C15" s="6" t="s">
        <v>77</v>
      </c>
      <c r="D15" s="6" t="s">
        <v>78</v>
      </c>
      <c r="E15" s="6" t="s">
        <v>53</v>
      </c>
      <c r="F15" s="6" t="s">
        <v>54</v>
      </c>
      <c r="G15" s="7"/>
      <c r="H15" s="7"/>
      <c r="I15" s="7"/>
      <c r="J15" s="7"/>
      <c r="K15" s="7"/>
      <c r="L15" s="7"/>
      <c r="M15" s="7"/>
      <c r="N15" s="7"/>
      <c r="O15" s="8" t="str">
        <f aca="false">IF(OR(G15="",J15=""),"MISSING JUDGMENT",IF(AND(G15="COMPUTABLE",J15="NOT_COMPUTABLE"),"INVALID: strict&gt;generous",IF(AND(G15="COMPUTABLE",OR(H15="",I15="")),"STRICT NEEDS EVIDENCE",IF(AND(J15="COMPUTABLE",OR(L15="",M15="")),"GENEROUS NEEDS EVIDENCE",IF(AND(J15="COMPUTABLE",G15="NOT_COMPUTABLE",K15=""),"PROXY FIELD NEEDED","OK")))))</f>
        <v>MISSING JUDGMENT</v>
      </c>
    </row>
    <row r="16" customFormat="false" ht="23.85" hidden="false" customHeight="false" outlineLevel="0" collapsed="false">
      <c r="A16" s="6" t="s">
        <v>81</v>
      </c>
      <c r="B16" s="6" t="s">
        <v>46</v>
      </c>
      <c r="C16" s="6" t="s">
        <v>77</v>
      </c>
      <c r="D16" s="6" t="s">
        <v>78</v>
      </c>
      <c r="E16" s="6" t="s">
        <v>56</v>
      </c>
      <c r="F16" s="6" t="s">
        <v>57</v>
      </c>
      <c r="G16" s="7"/>
      <c r="H16" s="7"/>
      <c r="I16" s="7"/>
      <c r="J16" s="7"/>
      <c r="K16" s="7"/>
      <c r="L16" s="7"/>
      <c r="M16" s="7"/>
      <c r="N16" s="7"/>
      <c r="O16" s="8" t="str">
        <f aca="false">IF(OR(G16="",J16=""),"MISSING JUDGMENT",IF(AND(G16="COMPUTABLE",J16="NOT_COMPUTABLE"),"INVALID: strict&gt;generous",IF(AND(G16="COMPUTABLE",OR(H16="",I16="")),"STRICT NEEDS EVIDENCE",IF(AND(J16="COMPUTABLE",OR(L16="",M16="")),"GENEROUS NEEDS EVIDENCE",IF(AND(J16="COMPUTABLE",G16="NOT_COMPUTABLE",K16=""),"PROXY FIELD NEEDED","OK")))))</f>
        <v>MISSING JUDGMENT</v>
      </c>
    </row>
    <row r="17" customFormat="false" ht="23.85" hidden="false" customHeight="false" outlineLevel="0" collapsed="false">
      <c r="A17" s="6" t="s">
        <v>82</v>
      </c>
      <c r="B17" s="6" t="s">
        <v>46</v>
      </c>
      <c r="C17" s="6" t="s">
        <v>77</v>
      </c>
      <c r="D17" s="6" t="s">
        <v>78</v>
      </c>
      <c r="E17" s="6" t="s">
        <v>59</v>
      </c>
      <c r="F17" s="6" t="s">
        <v>60</v>
      </c>
      <c r="G17" s="7"/>
      <c r="H17" s="7"/>
      <c r="I17" s="7"/>
      <c r="J17" s="7"/>
      <c r="K17" s="7"/>
      <c r="L17" s="7"/>
      <c r="M17" s="7"/>
      <c r="N17" s="7"/>
      <c r="O17" s="8" t="str">
        <f aca="false">IF(OR(G17="",J17=""),"MISSING JUDGMENT",IF(AND(G17="COMPUTABLE",J17="NOT_COMPUTABLE"),"INVALID: strict&gt;generous",IF(AND(G17="COMPUTABLE",OR(H17="",I17="")),"STRICT NEEDS EVIDENCE",IF(AND(J17="COMPUTABLE",OR(L17="",M17="")),"GENEROUS NEEDS EVIDENCE",IF(AND(J17="COMPUTABLE",G17="NOT_COMPUTABLE",K17=""),"PROXY FIELD NEEDED","OK")))))</f>
        <v>MISSING JUDGMENT</v>
      </c>
    </row>
    <row r="18" customFormat="false" ht="15" hidden="false" customHeight="false" outlineLevel="0" collapsed="false">
      <c r="A18" s="6" t="s">
        <v>83</v>
      </c>
      <c r="B18" s="6" t="s">
        <v>46</v>
      </c>
      <c r="C18" s="6" t="s">
        <v>77</v>
      </c>
      <c r="D18" s="6" t="s">
        <v>78</v>
      </c>
      <c r="E18" s="6" t="s">
        <v>62</v>
      </c>
      <c r="F18" s="6" t="s">
        <v>63</v>
      </c>
      <c r="G18" s="7"/>
      <c r="H18" s="7"/>
      <c r="I18" s="7"/>
      <c r="J18" s="7"/>
      <c r="K18" s="7"/>
      <c r="L18" s="7"/>
      <c r="M18" s="7"/>
      <c r="N18" s="7"/>
      <c r="O18" s="8" t="str">
        <f aca="false">IF(OR(G18="",J18=""),"MISSING JUDGMENT",IF(AND(G18="COMPUTABLE",J18="NOT_COMPUTABLE"),"INVALID: strict&gt;generous",IF(AND(G18="COMPUTABLE",OR(H18="",I18="")),"STRICT NEEDS EVIDENCE",IF(AND(J18="COMPUTABLE",OR(L18="",M18="")),"GENEROUS NEEDS EVIDENCE",IF(AND(J18="COMPUTABLE",G18="NOT_COMPUTABLE",K18=""),"PROXY FIELD NEEDED","OK")))))</f>
        <v>MISSING JUDGMENT</v>
      </c>
    </row>
    <row r="19" customFormat="false" ht="15" hidden="false" customHeight="false" outlineLevel="0" collapsed="false">
      <c r="A19" s="6" t="s">
        <v>84</v>
      </c>
      <c r="B19" s="6" t="s">
        <v>46</v>
      </c>
      <c r="C19" s="6" t="s">
        <v>77</v>
      </c>
      <c r="D19" s="6" t="s">
        <v>78</v>
      </c>
      <c r="E19" s="6" t="s">
        <v>65</v>
      </c>
      <c r="F19" s="6" t="s">
        <v>66</v>
      </c>
      <c r="G19" s="7"/>
      <c r="H19" s="7"/>
      <c r="I19" s="7"/>
      <c r="J19" s="7"/>
      <c r="K19" s="7"/>
      <c r="L19" s="7"/>
      <c r="M19" s="7"/>
      <c r="N19" s="7"/>
      <c r="O19" s="8" t="str">
        <f aca="false">IF(OR(G19="",J19=""),"MISSING JUDGMENT",IF(AND(G19="COMPUTABLE",J19="NOT_COMPUTABLE"),"INVALID: strict&gt;generous",IF(AND(G19="COMPUTABLE",OR(H19="",I19="")),"STRICT NEEDS EVIDENCE",IF(AND(J19="COMPUTABLE",OR(L19="",M19="")),"GENEROUS NEEDS EVIDENCE",IF(AND(J19="COMPUTABLE",G19="NOT_COMPUTABLE",K19=""),"PROXY FIELD NEEDED","OK")))))</f>
        <v>MISSING JUDGMENT</v>
      </c>
    </row>
    <row r="20" customFormat="false" ht="15" hidden="false" customHeight="false" outlineLevel="0" collapsed="false">
      <c r="A20" s="6" t="s">
        <v>85</v>
      </c>
      <c r="B20" s="6" t="s">
        <v>46</v>
      </c>
      <c r="C20" s="6" t="s">
        <v>77</v>
      </c>
      <c r="D20" s="6" t="s">
        <v>78</v>
      </c>
      <c r="E20" s="6" t="s">
        <v>68</v>
      </c>
      <c r="F20" s="6" t="s">
        <v>69</v>
      </c>
      <c r="G20" s="7"/>
      <c r="H20" s="7"/>
      <c r="I20" s="7"/>
      <c r="J20" s="7"/>
      <c r="K20" s="7"/>
      <c r="L20" s="7"/>
      <c r="M20" s="7"/>
      <c r="N20" s="7"/>
      <c r="O20" s="8" t="str">
        <f aca="false">IF(OR(G20="",J20=""),"MISSING JUDGMENT",IF(AND(G20="COMPUTABLE",J20="NOT_COMPUTABLE"),"INVALID: strict&gt;generous",IF(AND(G20="COMPUTABLE",OR(H20="",I20="")),"STRICT NEEDS EVIDENCE",IF(AND(J20="COMPUTABLE",OR(L20="",M20="")),"GENEROUS NEEDS EVIDENCE",IF(AND(J20="COMPUTABLE",G20="NOT_COMPUTABLE",K20=""),"PROXY FIELD NEEDED","OK")))))</f>
        <v>MISSING JUDGMENT</v>
      </c>
    </row>
    <row r="21" customFormat="false" ht="15" hidden="false" customHeight="false" outlineLevel="0" collapsed="false">
      <c r="A21" s="6" t="s">
        <v>86</v>
      </c>
      <c r="B21" s="6" t="s">
        <v>46</v>
      </c>
      <c r="C21" s="6" t="s">
        <v>77</v>
      </c>
      <c r="D21" s="6" t="s">
        <v>78</v>
      </c>
      <c r="E21" s="6" t="s">
        <v>71</v>
      </c>
      <c r="F21" s="6" t="s">
        <v>72</v>
      </c>
      <c r="G21" s="7"/>
      <c r="H21" s="7"/>
      <c r="I21" s="7"/>
      <c r="J21" s="7"/>
      <c r="K21" s="7"/>
      <c r="L21" s="7"/>
      <c r="M21" s="7"/>
      <c r="N21" s="7"/>
      <c r="O21" s="8" t="str">
        <f aca="false">IF(OR(G21="",J21=""),"MISSING JUDGMENT",IF(AND(G21="COMPUTABLE",J21="NOT_COMPUTABLE"),"INVALID: strict&gt;generous",IF(AND(G21="COMPUTABLE",OR(H21="",I21="")),"STRICT NEEDS EVIDENCE",IF(AND(J21="COMPUTABLE",OR(L21="",M21="")),"GENEROUS NEEDS EVIDENCE",IF(AND(J21="COMPUTABLE",G21="NOT_COMPUTABLE",K21=""),"PROXY FIELD NEEDED","OK")))))</f>
        <v>MISSING JUDGMENT</v>
      </c>
    </row>
    <row r="22" customFormat="false" ht="15" hidden="false" customHeight="false" outlineLevel="0" collapsed="false">
      <c r="A22" s="6" t="s">
        <v>87</v>
      </c>
      <c r="B22" s="6" t="s">
        <v>46</v>
      </c>
      <c r="C22" s="6" t="s">
        <v>77</v>
      </c>
      <c r="D22" s="6" t="s">
        <v>78</v>
      </c>
      <c r="E22" s="6" t="s">
        <v>74</v>
      </c>
      <c r="F22" s="6" t="s">
        <v>75</v>
      </c>
      <c r="G22" s="7"/>
      <c r="H22" s="7"/>
      <c r="I22" s="7"/>
      <c r="J22" s="7"/>
      <c r="K22" s="7"/>
      <c r="L22" s="7"/>
      <c r="M22" s="7"/>
      <c r="N22" s="7"/>
      <c r="O22" s="8" t="str">
        <f aca="false">IF(OR(G22="",J22=""),"MISSING JUDGMENT",IF(AND(G22="COMPUTABLE",J22="NOT_COMPUTABLE"),"INVALID: strict&gt;generous",IF(AND(G22="COMPUTABLE",OR(H22="",I22="")),"STRICT NEEDS EVIDENCE",IF(AND(J22="COMPUTABLE",OR(L22="",M22="")),"GENEROUS NEEDS EVIDENCE",IF(AND(J22="COMPUTABLE",G22="NOT_COMPUTABLE",K22=""),"PROXY FIELD NEEDED","OK")))))</f>
        <v>MISSING JUDGMENT</v>
      </c>
    </row>
    <row r="23" customFormat="false" ht="15" hidden="false" customHeight="false" outlineLevel="0" collapsed="false">
      <c r="A23" s="6" t="s">
        <v>88</v>
      </c>
      <c r="B23" s="6" t="s">
        <v>46</v>
      </c>
      <c r="C23" s="6" t="s">
        <v>89</v>
      </c>
      <c r="D23" s="6" t="s">
        <v>90</v>
      </c>
      <c r="E23" s="6" t="s">
        <v>49</v>
      </c>
      <c r="F23" s="6" t="s">
        <v>50</v>
      </c>
      <c r="G23" s="7"/>
      <c r="H23" s="7"/>
      <c r="I23" s="7"/>
      <c r="J23" s="7"/>
      <c r="K23" s="7"/>
      <c r="L23" s="7"/>
      <c r="M23" s="7"/>
      <c r="N23" s="7"/>
      <c r="O23" s="8" t="str">
        <f aca="false">IF(OR(G23="",J23=""),"MISSING JUDGMENT",IF(AND(G23="COMPUTABLE",J23="NOT_COMPUTABLE"),"INVALID: strict&gt;generous",IF(AND(G23="COMPUTABLE",OR(H23="",I23="")),"STRICT NEEDS EVIDENCE",IF(AND(J23="COMPUTABLE",OR(L23="",M23="")),"GENEROUS NEEDS EVIDENCE",IF(AND(J23="COMPUTABLE",G23="NOT_COMPUTABLE",K23=""),"PROXY FIELD NEEDED","OK")))))</f>
        <v>MISSING JUDGMENT</v>
      </c>
    </row>
    <row r="24" customFormat="false" ht="15" hidden="false" customHeight="false" outlineLevel="0" collapsed="false">
      <c r="A24" s="6" t="s">
        <v>91</v>
      </c>
      <c r="B24" s="6" t="s">
        <v>46</v>
      </c>
      <c r="C24" s="6" t="s">
        <v>89</v>
      </c>
      <c r="D24" s="6" t="s">
        <v>90</v>
      </c>
      <c r="E24" s="6" t="s">
        <v>37</v>
      </c>
      <c r="F24" s="6" t="s">
        <v>38</v>
      </c>
      <c r="G24" s="7"/>
      <c r="H24" s="7"/>
      <c r="I24" s="7"/>
      <c r="J24" s="7"/>
      <c r="K24" s="7"/>
      <c r="L24" s="7"/>
      <c r="M24" s="7"/>
      <c r="N24" s="7"/>
      <c r="O24" s="8" t="str">
        <f aca="false">IF(OR(G24="",J24=""),"MISSING JUDGMENT",IF(AND(G24="COMPUTABLE",J24="NOT_COMPUTABLE"),"INVALID: strict&gt;generous",IF(AND(G24="COMPUTABLE",OR(H24="",I24="")),"STRICT NEEDS EVIDENCE",IF(AND(J24="COMPUTABLE",OR(L24="",M24="")),"GENEROUS NEEDS EVIDENCE",IF(AND(J24="COMPUTABLE",G24="NOT_COMPUTABLE",K24=""),"PROXY FIELD NEEDED","OK")))))</f>
        <v>MISSING JUDGMENT</v>
      </c>
    </row>
    <row r="25" customFormat="false" ht="23.85" hidden="false" customHeight="false" outlineLevel="0" collapsed="false">
      <c r="A25" s="6" t="s">
        <v>92</v>
      </c>
      <c r="B25" s="6" t="s">
        <v>46</v>
      </c>
      <c r="C25" s="6" t="s">
        <v>89</v>
      </c>
      <c r="D25" s="6" t="s">
        <v>90</v>
      </c>
      <c r="E25" s="6" t="s">
        <v>53</v>
      </c>
      <c r="F25" s="6" t="s">
        <v>54</v>
      </c>
      <c r="G25" s="7"/>
      <c r="H25" s="7"/>
      <c r="I25" s="7"/>
      <c r="J25" s="7"/>
      <c r="K25" s="7"/>
      <c r="L25" s="7"/>
      <c r="M25" s="7"/>
      <c r="N25" s="7"/>
      <c r="O25" s="8" t="str">
        <f aca="false">IF(OR(G25="",J25=""),"MISSING JUDGMENT",IF(AND(G25="COMPUTABLE",J25="NOT_COMPUTABLE"),"INVALID: strict&gt;generous",IF(AND(G25="COMPUTABLE",OR(H25="",I25="")),"STRICT NEEDS EVIDENCE",IF(AND(J25="COMPUTABLE",OR(L25="",M25="")),"GENEROUS NEEDS EVIDENCE",IF(AND(J25="COMPUTABLE",G25="NOT_COMPUTABLE",K25=""),"PROXY FIELD NEEDED","OK")))))</f>
        <v>MISSING JUDGMENT</v>
      </c>
    </row>
    <row r="26" customFormat="false" ht="23.85" hidden="false" customHeight="false" outlineLevel="0" collapsed="false">
      <c r="A26" s="6" t="s">
        <v>93</v>
      </c>
      <c r="B26" s="6" t="s">
        <v>46</v>
      </c>
      <c r="C26" s="6" t="s">
        <v>89</v>
      </c>
      <c r="D26" s="6" t="s">
        <v>90</v>
      </c>
      <c r="E26" s="6" t="s">
        <v>56</v>
      </c>
      <c r="F26" s="6" t="s">
        <v>57</v>
      </c>
      <c r="G26" s="7"/>
      <c r="H26" s="7"/>
      <c r="I26" s="7"/>
      <c r="J26" s="7"/>
      <c r="K26" s="7"/>
      <c r="L26" s="7"/>
      <c r="M26" s="7"/>
      <c r="N26" s="7"/>
      <c r="O26" s="8" t="str">
        <f aca="false">IF(OR(G26="",J26=""),"MISSING JUDGMENT",IF(AND(G26="COMPUTABLE",J26="NOT_COMPUTABLE"),"INVALID: strict&gt;generous",IF(AND(G26="COMPUTABLE",OR(H26="",I26="")),"STRICT NEEDS EVIDENCE",IF(AND(J26="COMPUTABLE",OR(L26="",M26="")),"GENEROUS NEEDS EVIDENCE",IF(AND(J26="COMPUTABLE",G26="NOT_COMPUTABLE",K26=""),"PROXY FIELD NEEDED","OK")))))</f>
        <v>MISSING JUDGMENT</v>
      </c>
    </row>
    <row r="27" customFormat="false" ht="23.85" hidden="false" customHeight="false" outlineLevel="0" collapsed="false">
      <c r="A27" s="6" t="s">
        <v>94</v>
      </c>
      <c r="B27" s="6" t="s">
        <v>46</v>
      </c>
      <c r="C27" s="6" t="s">
        <v>89</v>
      </c>
      <c r="D27" s="6" t="s">
        <v>90</v>
      </c>
      <c r="E27" s="6" t="s">
        <v>59</v>
      </c>
      <c r="F27" s="6" t="s">
        <v>60</v>
      </c>
      <c r="G27" s="7"/>
      <c r="H27" s="7"/>
      <c r="I27" s="7"/>
      <c r="J27" s="7"/>
      <c r="K27" s="7"/>
      <c r="L27" s="7"/>
      <c r="M27" s="7"/>
      <c r="N27" s="7"/>
      <c r="O27" s="8" t="str">
        <f aca="false">IF(OR(G27="",J27=""),"MISSING JUDGMENT",IF(AND(G27="COMPUTABLE",J27="NOT_COMPUTABLE"),"INVALID: strict&gt;generous",IF(AND(G27="COMPUTABLE",OR(H27="",I27="")),"STRICT NEEDS EVIDENCE",IF(AND(J27="COMPUTABLE",OR(L27="",M27="")),"GENEROUS NEEDS EVIDENCE",IF(AND(J27="COMPUTABLE",G27="NOT_COMPUTABLE",K27=""),"PROXY FIELD NEEDED","OK")))))</f>
        <v>MISSING JUDGMENT</v>
      </c>
    </row>
    <row r="28" customFormat="false" ht="15" hidden="false" customHeight="false" outlineLevel="0" collapsed="false">
      <c r="A28" s="6" t="s">
        <v>95</v>
      </c>
      <c r="B28" s="6" t="s">
        <v>46</v>
      </c>
      <c r="C28" s="6" t="s">
        <v>89</v>
      </c>
      <c r="D28" s="6" t="s">
        <v>90</v>
      </c>
      <c r="E28" s="6" t="s">
        <v>62</v>
      </c>
      <c r="F28" s="6" t="s">
        <v>63</v>
      </c>
      <c r="G28" s="7"/>
      <c r="H28" s="7"/>
      <c r="I28" s="7"/>
      <c r="J28" s="7"/>
      <c r="K28" s="7"/>
      <c r="L28" s="7"/>
      <c r="M28" s="7"/>
      <c r="N28" s="7"/>
      <c r="O28" s="8" t="str">
        <f aca="false">IF(OR(G28="",J28=""),"MISSING JUDGMENT",IF(AND(G28="COMPUTABLE",J28="NOT_COMPUTABLE"),"INVALID: strict&gt;generous",IF(AND(G28="COMPUTABLE",OR(H28="",I28="")),"STRICT NEEDS EVIDENCE",IF(AND(J28="COMPUTABLE",OR(L28="",M28="")),"GENEROUS NEEDS EVIDENCE",IF(AND(J28="COMPUTABLE",G28="NOT_COMPUTABLE",K28=""),"PROXY FIELD NEEDED","OK")))))</f>
        <v>MISSING JUDGMENT</v>
      </c>
    </row>
    <row r="29" customFormat="false" ht="15" hidden="false" customHeight="false" outlineLevel="0" collapsed="false">
      <c r="A29" s="6" t="s">
        <v>96</v>
      </c>
      <c r="B29" s="6" t="s">
        <v>46</v>
      </c>
      <c r="C29" s="6" t="s">
        <v>89</v>
      </c>
      <c r="D29" s="6" t="s">
        <v>90</v>
      </c>
      <c r="E29" s="6" t="s">
        <v>65</v>
      </c>
      <c r="F29" s="6" t="s">
        <v>66</v>
      </c>
      <c r="G29" s="7"/>
      <c r="H29" s="7"/>
      <c r="I29" s="7"/>
      <c r="J29" s="7"/>
      <c r="K29" s="7"/>
      <c r="L29" s="7"/>
      <c r="M29" s="7"/>
      <c r="N29" s="7"/>
      <c r="O29" s="8" t="str">
        <f aca="false">IF(OR(G29="",J29=""),"MISSING JUDGMENT",IF(AND(G29="COMPUTABLE",J29="NOT_COMPUTABLE"),"INVALID: strict&gt;generous",IF(AND(G29="COMPUTABLE",OR(H29="",I29="")),"STRICT NEEDS EVIDENCE",IF(AND(J29="COMPUTABLE",OR(L29="",M29="")),"GENEROUS NEEDS EVIDENCE",IF(AND(J29="COMPUTABLE",G29="NOT_COMPUTABLE",K29=""),"PROXY FIELD NEEDED","OK")))))</f>
        <v>MISSING JUDGMENT</v>
      </c>
    </row>
    <row r="30" customFormat="false" ht="15" hidden="false" customHeight="false" outlineLevel="0" collapsed="false">
      <c r="A30" s="6" t="s">
        <v>97</v>
      </c>
      <c r="B30" s="6" t="s">
        <v>46</v>
      </c>
      <c r="C30" s="6" t="s">
        <v>89</v>
      </c>
      <c r="D30" s="6" t="s">
        <v>90</v>
      </c>
      <c r="E30" s="6" t="s">
        <v>68</v>
      </c>
      <c r="F30" s="6" t="s">
        <v>69</v>
      </c>
      <c r="G30" s="7"/>
      <c r="H30" s="7"/>
      <c r="I30" s="7"/>
      <c r="J30" s="7"/>
      <c r="K30" s="7"/>
      <c r="L30" s="7"/>
      <c r="M30" s="7"/>
      <c r="N30" s="7"/>
      <c r="O30" s="8" t="str">
        <f aca="false">IF(OR(G30="",J30=""),"MISSING JUDGMENT",IF(AND(G30="COMPUTABLE",J30="NOT_COMPUTABLE"),"INVALID: strict&gt;generous",IF(AND(G30="COMPUTABLE",OR(H30="",I30="")),"STRICT NEEDS EVIDENCE",IF(AND(J30="COMPUTABLE",OR(L30="",M30="")),"GENEROUS NEEDS EVIDENCE",IF(AND(J30="COMPUTABLE",G30="NOT_COMPUTABLE",K30=""),"PROXY FIELD NEEDED","OK")))))</f>
        <v>MISSING JUDGMENT</v>
      </c>
    </row>
    <row r="31" customFormat="false" ht="15" hidden="false" customHeight="false" outlineLevel="0" collapsed="false">
      <c r="A31" s="6" t="s">
        <v>98</v>
      </c>
      <c r="B31" s="6" t="s">
        <v>46</v>
      </c>
      <c r="C31" s="6" t="s">
        <v>89</v>
      </c>
      <c r="D31" s="6" t="s">
        <v>90</v>
      </c>
      <c r="E31" s="6" t="s">
        <v>71</v>
      </c>
      <c r="F31" s="6" t="s">
        <v>72</v>
      </c>
      <c r="G31" s="7"/>
      <c r="H31" s="7"/>
      <c r="I31" s="7"/>
      <c r="J31" s="7"/>
      <c r="K31" s="7"/>
      <c r="L31" s="7"/>
      <c r="M31" s="7"/>
      <c r="N31" s="7"/>
      <c r="O31" s="8" t="str">
        <f aca="false">IF(OR(G31="",J31=""),"MISSING JUDGMENT",IF(AND(G31="COMPUTABLE",J31="NOT_COMPUTABLE"),"INVALID: strict&gt;generous",IF(AND(G31="COMPUTABLE",OR(H31="",I31="")),"STRICT NEEDS EVIDENCE",IF(AND(J31="COMPUTABLE",OR(L31="",M31="")),"GENEROUS NEEDS EVIDENCE",IF(AND(J31="COMPUTABLE",G31="NOT_COMPUTABLE",K31=""),"PROXY FIELD NEEDED","OK")))))</f>
        <v>MISSING JUDGMENT</v>
      </c>
    </row>
    <row r="32" customFormat="false" ht="15" hidden="false" customHeight="false" outlineLevel="0" collapsed="false">
      <c r="A32" s="6" t="s">
        <v>99</v>
      </c>
      <c r="B32" s="6" t="s">
        <v>46</v>
      </c>
      <c r="C32" s="6" t="s">
        <v>89</v>
      </c>
      <c r="D32" s="6" t="s">
        <v>90</v>
      </c>
      <c r="E32" s="6" t="s">
        <v>74</v>
      </c>
      <c r="F32" s="6" t="s">
        <v>75</v>
      </c>
      <c r="G32" s="7"/>
      <c r="H32" s="7"/>
      <c r="I32" s="7"/>
      <c r="J32" s="7"/>
      <c r="K32" s="7"/>
      <c r="L32" s="7"/>
      <c r="M32" s="7"/>
      <c r="N32" s="7"/>
      <c r="O32" s="8" t="str">
        <f aca="false">IF(OR(G32="",J32=""),"MISSING JUDGMENT",IF(AND(G32="COMPUTABLE",J32="NOT_COMPUTABLE"),"INVALID: strict&gt;generous",IF(AND(G32="COMPUTABLE",OR(H32="",I32="")),"STRICT NEEDS EVIDENCE",IF(AND(J32="COMPUTABLE",OR(L32="",M32="")),"GENEROUS NEEDS EVIDENCE",IF(AND(J32="COMPUTABLE",G32="NOT_COMPUTABLE",K32=""),"PROXY FIELD NEEDED","OK")))))</f>
        <v>MISSING JUDGMENT</v>
      </c>
    </row>
    <row r="33" customFormat="false" ht="15" hidden="false" customHeight="false" outlineLevel="0" collapsed="false">
      <c r="A33" s="6" t="s">
        <v>100</v>
      </c>
      <c r="B33" s="6" t="s">
        <v>101</v>
      </c>
      <c r="C33" s="6" t="s">
        <v>47</v>
      </c>
      <c r="D33" s="6" t="s">
        <v>102</v>
      </c>
      <c r="E33" s="6" t="s">
        <v>49</v>
      </c>
      <c r="F33" s="6" t="s">
        <v>50</v>
      </c>
      <c r="G33" s="7"/>
      <c r="H33" s="7"/>
      <c r="I33" s="7"/>
      <c r="J33" s="7"/>
      <c r="K33" s="7"/>
      <c r="L33" s="7"/>
      <c r="M33" s="7"/>
      <c r="N33" s="7"/>
      <c r="O33" s="8" t="str">
        <f aca="false">IF(OR(G33="",J33=""),"MISSING JUDGMENT",IF(AND(G33="COMPUTABLE",J33="NOT_COMPUTABLE"),"INVALID: strict&gt;generous",IF(AND(G33="COMPUTABLE",OR(H33="",I33="")),"STRICT NEEDS EVIDENCE",IF(AND(J33="COMPUTABLE",OR(L33="",M33="")),"GENEROUS NEEDS EVIDENCE",IF(AND(J33="COMPUTABLE",G33="NOT_COMPUTABLE",K33=""),"PROXY FIELD NEEDED","OK")))))</f>
        <v>MISSING JUDGMENT</v>
      </c>
    </row>
    <row r="34" customFormat="false" ht="15" hidden="false" customHeight="false" outlineLevel="0" collapsed="false">
      <c r="A34" s="6" t="s">
        <v>103</v>
      </c>
      <c r="B34" s="6" t="s">
        <v>101</v>
      </c>
      <c r="C34" s="6" t="s">
        <v>47</v>
      </c>
      <c r="D34" s="6" t="s">
        <v>102</v>
      </c>
      <c r="E34" s="6" t="s">
        <v>37</v>
      </c>
      <c r="F34" s="6" t="s">
        <v>38</v>
      </c>
      <c r="G34" s="7"/>
      <c r="H34" s="7"/>
      <c r="I34" s="7"/>
      <c r="J34" s="7"/>
      <c r="K34" s="7"/>
      <c r="L34" s="7"/>
      <c r="M34" s="7"/>
      <c r="N34" s="7"/>
      <c r="O34" s="8" t="str">
        <f aca="false">IF(OR(G34="",J34=""),"MISSING JUDGMENT",IF(AND(G34="COMPUTABLE",J34="NOT_COMPUTABLE"),"INVALID: strict&gt;generous",IF(AND(G34="COMPUTABLE",OR(H34="",I34="")),"STRICT NEEDS EVIDENCE",IF(AND(J34="COMPUTABLE",OR(L34="",M34="")),"GENEROUS NEEDS EVIDENCE",IF(AND(J34="COMPUTABLE",G34="NOT_COMPUTABLE",K34=""),"PROXY FIELD NEEDED","OK")))))</f>
        <v>MISSING JUDGMENT</v>
      </c>
    </row>
    <row r="35" customFormat="false" ht="23.85" hidden="false" customHeight="false" outlineLevel="0" collapsed="false">
      <c r="A35" s="6" t="s">
        <v>104</v>
      </c>
      <c r="B35" s="6" t="s">
        <v>101</v>
      </c>
      <c r="C35" s="6" t="s">
        <v>47</v>
      </c>
      <c r="D35" s="6" t="s">
        <v>102</v>
      </c>
      <c r="E35" s="6" t="s">
        <v>53</v>
      </c>
      <c r="F35" s="6" t="s">
        <v>54</v>
      </c>
      <c r="G35" s="7"/>
      <c r="H35" s="7"/>
      <c r="I35" s="7"/>
      <c r="J35" s="7"/>
      <c r="K35" s="7"/>
      <c r="L35" s="7"/>
      <c r="M35" s="7"/>
      <c r="N35" s="7"/>
      <c r="O35" s="8" t="str">
        <f aca="false">IF(OR(G35="",J35=""),"MISSING JUDGMENT",IF(AND(G35="COMPUTABLE",J35="NOT_COMPUTABLE"),"INVALID: strict&gt;generous",IF(AND(G35="COMPUTABLE",OR(H35="",I35="")),"STRICT NEEDS EVIDENCE",IF(AND(J35="COMPUTABLE",OR(L35="",M35="")),"GENEROUS NEEDS EVIDENCE",IF(AND(J35="COMPUTABLE",G35="NOT_COMPUTABLE",K35=""),"PROXY FIELD NEEDED","OK")))))</f>
        <v>MISSING JUDGMENT</v>
      </c>
    </row>
    <row r="36" customFormat="false" ht="23.85" hidden="false" customHeight="false" outlineLevel="0" collapsed="false">
      <c r="A36" s="6" t="s">
        <v>105</v>
      </c>
      <c r="B36" s="6" t="s">
        <v>101</v>
      </c>
      <c r="C36" s="6" t="s">
        <v>47</v>
      </c>
      <c r="D36" s="6" t="s">
        <v>102</v>
      </c>
      <c r="E36" s="6" t="s">
        <v>56</v>
      </c>
      <c r="F36" s="6" t="s">
        <v>57</v>
      </c>
      <c r="G36" s="7"/>
      <c r="H36" s="7"/>
      <c r="I36" s="7"/>
      <c r="J36" s="7"/>
      <c r="K36" s="7"/>
      <c r="L36" s="7"/>
      <c r="M36" s="7"/>
      <c r="N36" s="7"/>
      <c r="O36" s="8" t="str">
        <f aca="false">IF(OR(G36="",J36=""),"MISSING JUDGMENT",IF(AND(G36="COMPUTABLE",J36="NOT_COMPUTABLE"),"INVALID: strict&gt;generous",IF(AND(G36="COMPUTABLE",OR(H36="",I36="")),"STRICT NEEDS EVIDENCE",IF(AND(J36="COMPUTABLE",OR(L36="",M36="")),"GENEROUS NEEDS EVIDENCE",IF(AND(J36="COMPUTABLE",G36="NOT_COMPUTABLE",K36=""),"PROXY FIELD NEEDED","OK")))))</f>
        <v>MISSING JUDGMENT</v>
      </c>
    </row>
    <row r="37" customFormat="false" ht="23.85" hidden="false" customHeight="false" outlineLevel="0" collapsed="false">
      <c r="A37" s="6" t="s">
        <v>106</v>
      </c>
      <c r="B37" s="6" t="s">
        <v>101</v>
      </c>
      <c r="C37" s="6" t="s">
        <v>47</v>
      </c>
      <c r="D37" s="6" t="s">
        <v>102</v>
      </c>
      <c r="E37" s="6" t="s">
        <v>59</v>
      </c>
      <c r="F37" s="6" t="s">
        <v>60</v>
      </c>
      <c r="G37" s="7"/>
      <c r="H37" s="7"/>
      <c r="I37" s="7"/>
      <c r="J37" s="7"/>
      <c r="K37" s="7"/>
      <c r="L37" s="7"/>
      <c r="M37" s="7"/>
      <c r="N37" s="7"/>
      <c r="O37" s="8" t="str">
        <f aca="false">IF(OR(G37="",J37=""),"MISSING JUDGMENT",IF(AND(G37="COMPUTABLE",J37="NOT_COMPUTABLE"),"INVALID: strict&gt;generous",IF(AND(G37="COMPUTABLE",OR(H37="",I37="")),"STRICT NEEDS EVIDENCE",IF(AND(J37="COMPUTABLE",OR(L37="",M37="")),"GENEROUS NEEDS EVIDENCE",IF(AND(J37="COMPUTABLE",G37="NOT_COMPUTABLE",K37=""),"PROXY FIELD NEEDED","OK")))))</f>
        <v>MISSING JUDGMENT</v>
      </c>
    </row>
    <row r="38" customFormat="false" ht="15" hidden="false" customHeight="false" outlineLevel="0" collapsed="false">
      <c r="A38" s="6" t="s">
        <v>107</v>
      </c>
      <c r="B38" s="6" t="s">
        <v>101</v>
      </c>
      <c r="C38" s="6" t="s">
        <v>47</v>
      </c>
      <c r="D38" s="6" t="s">
        <v>102</v>
      </c>
      <c r="E38" s="6" t="s">
        <v>62</v>
      </c>
      <c r="F38" s="6" t="s">
        <v>63</v>
      </c>
      <c r="G38" s="7"/>
      <c r="H38" s="7"/>
      <c r="I38" s="7"/>
      <c r="J38" s="7"/>
      <c r="K38" s="7"/>
      <c r="L38" s="7"/>
      <c r="M38" s="7"/>
      <c r="N38" s="7"/>
      <c r="O38" s="8" t="str">
        <f aca="false">IF(OR(G38="",J38=""),"MISSING JUDGMENT",IF(AND(G38="COMPUTABLE",J38="NOT_COMPUTABLE"),"INVALID: strict&gt;generous",IF(AND(G38="COMPUTABLE",OR(H38="",I38="")),"STRICT NEEDS EVIDENCE",IF(AND(J38="COMPUTABLE",OR(L38="",M38="")),"GENEROUS NEEDS EVIDENCE",IF(AND(J38="COMPUTABLE",G38="NOT_COMPUTABLE",K38=""),"PROXY FIELD NEEDED","OK")))))</f>
        <v>MISSING JUDGMENT</v>
      </c>
    </row>
    <row r="39" customFormat="false" ht="15" hidden="false" customHeight="false" outlineLevel="0" collapsed="false">
      <c r="A39" s="6" t="s">
        <v>108</v>
      </c>
      <c r="B39" s="6" t="s">
        <v>101</v>
      </c>
      <c r="C39" s="6" t="s">
        <v>47</v>
      </c>
      <c r="D39" s="6" t="s">
        <v>102</v>
      </c>
      <c r="E39" s="6" t="s">
        <v>65</v>
      </c>
      <c r="F39" s="6" t="s">
        <v>66</v>
      </c>
      <c r="G39" s="7"/>
      <c r="H39" s="7"/>
      <c r="I39" s="7"/>
      <c r="J39" s="7"/>
      <c r="K39" s="7"/>
      <c r="L39" s="7"/>
      <c r="M39" s="7"/>
      <c r="N39" s="7"/>
      <c r="O39" s="8" t="str">
        <f aca="false">IF(OR(G39="",J39=""),"MISSING JUDGMENT",IF(AND(G39="COMPUTABLE",J39="NOT_COMPUTABLE"),"INVALID: strict&gt;generous",IF(AND(G39="COMPUTABLE",OR(H39="",I39="")),"STRICT NEEDS EVIDENCE",IF(AND(J39="COMPUTABLE",OR(L39="",M39="")),"GENEROUS NEEDS EVIDENCE",IF(AND(J39="COMPUTABLE",G39="NOT_COMPUTABLE",K39=""),"PROXY FIELD NEEDED","OK")))))</f>
        <v>MISSING JUDGMENT</v>
      </c>
    </row>
    <row r="40" customFormat="false" ht="15" hidden="false" customHeight="false" outlineLevel="0" collapsed="false">
      <c r="A40" s="6" t="s">
        <v>109</v>
      </c>
      <c r="B40" s="6" t="s">
        <v>101</v>
      </c>
      <c r="C40" s="6" t="s">
        <v>47</v>
      </c>
      <c r="D40" s="6" t="s">
        <v>102</v>
      </c>
      <c r="E40" s="6" t="s">
        <v>68</v>
      </c>
      <c r="F40" s="6" t="s">
        <v>69</v>
      </c>
      <c r="G40" s="7"/>
      <c r="H40" s="7"/>
      <c r="I40" s="7"/>
      <c r="J40" s="7"/>
      <c r="K40" s="7"/>
      <c r="L40" s="7"/>
      <c r="M40" s="7"/>
      <c r="N40" s="7"/>
      <c r="O40" s="8" t="str">
        <f aca="false">IF(OR(G40="",J40=""),"MISSING JUDGMENT",IF(AND(G40="COMPUTABLE",J40="NOT_COMPUTABLE"),"INVALID: strict&gt;generous",IF(AND(G40="COMPUTABLE",OR(H40="",I40="")),"STRICT NEEDS EVIDENCE",IF(AND(J40="COMPUTABLE",OR(L40="",M40="")),"GENEROUS NEEDS EVIDENCE",IF(AND(J40="COMPUTABLE",G40="NOT_COMPUTABLE",K40=""),"PROXY FIELD NEEDED","OK")))))</f>
        <v>MISSING JUDGMENT</v>
      </c>
    </row>
    <row r="41" customFormat="false" ht="15" hidden="false" customHeight="false" outlineLevel="0" collapsed="false">
      <c r="A41" s="6" t="s">
        <v>110</v>
      </c>
      <c r="B41" s="6" t="s">
        <v>101</v>
      </c>
      <c r="C41" s="6" t="s">
        <v>47</v>
      </c>
      <c r="D41" s="6" t="s">
        <v>102</v>
      </c>
      <c r="E41" s="6" t="s">
        <v>71</v>
      </c>
      <c r="F41" s="6" t="s">
        <v>72</v>
      </c>
      <c r="G41" s="7"/>
      <c r="H41" s="7"/>
      <c r="I41" s="7"/>
      <c r="J41" s="7"/>
      <c r="K41" s="7"/>
      <c r="L41" s="7"/>
      <c r="M41" s="7"/>
      <c r="N41" s="7"/>
      <c r="O41" s="8" t="str">
        <f aca="false">IF(OR(G41="",J41=""),"MISSING JUDGMENT",IF(AND(G41="COMPUTABLE",J41="NOT_COMPUTABLE"),"INVALID: strict&gt;generous",IF(AND(G41="COMPUTABLE",OR(H41="",I41="")),"STRICT NEEDS EVIDENCE",IF(AND(J41="COMPUTABLE",OR(L41="",M41="")),"GENEROUS NEEDS EVIDENCE",IF(AND(J41="COMPUTABLE",G41="NOT_COMPUTABLE",K41=""),"PROXY FIELD NEEDED","OK")))))</f>
        <v>MISSING JUDGMENT</v>
      </c>
    </row>
    <row r="42" customFormat="false" ht="15" hidden="false" customHeight="false" outlineLevel="0" collapsed="false">
      <c r="A42" s="6" t="s">
        <v>111</v>
      </c>
      <c r="B42" s="6" t="s">
        <v>101</v>
      </c>
      <c r="C42" s="6" t="s">
        <v>47</v>
      </c>
      <c r="D42" s="6" t="s">
        <v>102</v>
      </c>
      <c r="E42" s="6" t="s">
        <v>74</v>
      </c>
      <c r="F42" s="6" t="s">
        <v>75</v>
      </c>
      <c r="G42" s="7"/>
      <c r="H42" s="7"/>
      <c r="I42" s="7"/>
      <c r="J42" s="7"/>
      <c r="K42" s="7"/>
      <c r="L42" s="7"/>
      <c r="M42" s="7"/>
      <c r="N42" s="7"/>
      <c r="O42" s="8" t="str">
        <f aca="false">IF(OR(G42="",J42=""),"MISSING JUDGMENT",IF(AND(G42="COMPUTABLE",J42="NOT_COMPUTABLE"),"INVALID: strict&gt;generous",IF(AND(G42="COMPUTABLE",OR(H42="",I42="")),"STRICT NEEDS EVIDENCE",IF(AND(J42="COMPUTABLE",OR(L42="",M42="")),"GENEROUS NEEDS EVIDENCE",IF(AND(J42="COMPUTABLE",G42="NOT_COMPUTABLE",K42=""),"PROXY FIELD NEEDED","OK")))))</f>
        <v>MISSING JUDGMENT</v>
      </c>
    </row>
    <row r="43" customFormat="false" ht="15" hidden="false" customHeight="false" outlineLevel="0" collapsed="false">
      <c r="A43" s="6" t="s">
        <v>112</v>
      </c>
      <c r="B43" s="6" t="s">
        <v>101</v>
      </c>
      <c r="C43" s="6" t="s">
        <v>77</v>
      </c>
      <c r="D43" s="6" t="s">
        <v>113</v>
      </c>
      <c r="E43" s="6" t="s">
        <v>49</v>
      </c>
      <c r="F43" s="6" t="s">
        <v>50</v>
      </c>
      <c r="G43" s="7"/>
      <c r="H43" s="7"/>
      <c r="I43" s="7"/>
      <c r="J43" s="7"/>
      <c r="K43" s="7"/>
      <c r="L43" s="7"/>
      <c r="M43" s="7"/>
      <c r="N43" s="7"/>
      <c r="O43" s="8" t="str">
        <f aca="false">IF(OR(G43="",J43=""),"MISSING JUDGMENT",IF(AND(G43="COMPUTABLE",J43="NOT_COMPUTABLE"),"INVALID: strict&gt;generous",IF(AND(G43="COMPUTABLE",OR(H43="",I43="")),"STRICT NEEDS EVIDENCE",IF(AND(J43="COMPUTABLE",OR(L43="",M43="")),"GENEROUS NEEDS EVIDENCE",IF(AND(J43="COMPUTABLE",G43="NOT_COMPUTABLE",K43=""),"PROXY FIELD NEEDED","OK")))))</f>
        <v>MISSING JUDGMENT</v>
      </c>
    </row>
    <row r="44" customFormat="false" ht="15" hidden="false" customHeight="false" outlineLevel="0" collapsed="false">
      <c r="A44" s="6" t="s">
        <v>114</v>
      </c>
      <c r="B44" s="6" t="s">
        <v>101</v>
      </c>
      <c r="C44" s="6" t="s">
        <v>77</v>
      </c>
      <c r="D44" s="6" t="s">
        <v>113</v>
      </c>
      <c r="E44" s="6" t="s">
        <v>37</v>
      </c>
      <c r="F44" s="6" t="s">
        <v>38</v>
      </c>
      <c r="G44" s="7"/>
      <c r="H44" s="7"/>
      <c r="I44" s="7"/>
      <c r="J44" s="7"/>
      <c r="K44" s="7"/>
      <c r="L44" s="7"/>
      <c r="M44" s="7"/>
      <c r="N44" s="7"/>
      <c r="O44" s="8" t="str">
        <f aca="false">IF(OR(G44="",J44=""),"MISSING JUDGMENT",IF(AND(G44="COMPUTABLE",J44="NOT_COMPUTABLE"),"INVALID: strict&gt;generous",IF(AND(G44="COMPUTABLE",OR(H44="",I44="")),"STRICT NEEDS EVIDENCE",IF(AND(J44="COMPUTABLE",OR(L44="",M44="")),"GENEROUS NEEDS EVIDENCE",IF(AND(J44="COMPUTABLE",G44="NOT_COMPUTABLE",K44=""),"PROXY FIELD NEEDED","OK")))))</f>
        <v>MISSING JUDGMENT</v>
      </c>
    </row>
    <row r="45" customFormat="false" ht="23.85" hidden="false" customHeight="false" outlineLevel="0" collapsed="false">
      <c r="A45" s="6" t="s">
        <v>115</v>
      </c>
      <c r="B45" s="6" t="s">
        <v>101</v>
      </c>
      <c r="C45" s="6" t="s">
        <v>77</v>
      </c>
      <c r="D45" s="6" t="s">
        <v>113</v>
      </c>
      <c r="E45" s="6" t="s">
        <v>53</v>
      </c>
      <c r="F45" s="6" t="s">
        <v>54</v>
      </c>
      <c r="G45" s="7"/>
      <c r="H45" s="7"/>
      <c r="I45" s="7"/>
      <c r="J45" s="7"/>
      <c r="K45" s="7"/>
      <c r="L45" s="7"/>
      <c r="M45" s="7"/>
      <c r="N45" s="7"/>
      <c r="O45" s="8" t="str">
        <f aca="false">IF(OR(G45="",J45=""),"MISSING JUDGMENT",IF(AND(G45="COMPUTABLE",J45="NOT_COMPUTABLE"),"INVALID: strict&gt;generous",IF(AND(G45="COMPUTABLE",OR(H45="",I45="")),"STRICT NEEDS EVIDENCE",IF(AND(J45="COMPUTABLE",OR(L45="",M45="")),"GENEROUS NEEDS EVIDENCE",IF(AND(J45="COMPUTABLE",G45="NOT_COMPUTABLE",K45=""),"PROXY FIELD NEEDED","OK")))))</f>
        <v>MISSING JUDGMENT</v>
      </c>
    </row>
    <row r="46" customFormat="false" ht="23.85" hidden="false" customHeight="false" outlineLevel="0" collapsed="false">
      <c r="A46" s="6" t="s">
        <v>116</v>
      </c>
      <c r="B46" s="6" t="s">
        <v>101</v>
      </c>
      <c r="C46" s="6" t="s">
        <v>77</v>
      </c>
      <c r="D46" s="6" t="s">
        <v>113</v>
      </c>
      <c r="E46" s="6" t="s">
        <v>56</v>
      </c>
      <c r="F46" s="6" t="s">
        <v>57</v>
      </c>
      <c r="G46" s="7"/>
      <c r="H46" s="7"/>
      <c r="I46" s="7"/>
      <c r="J46" s="7"/>
      <c r="K46" s="7"/>
      <c r="L46" s="7"/>
      <c r="M46" s="7"/>
      <c r="N46" s="7"/>
      <c r="O46" s="8" t="str">
        <f aca="false">IF(OR(G46="",J46=""),"MISSING JUDGMENT",IF(AND(G46="COMPUTABLE",J46="NOT_COMPUTABLE"),"INVALID: strict&gt;generous",IF(AND(G46="COMPUTABLE",OR(H46="",I46="")),"STRICT NEEDS EVIDENCE",IF(AND(J46="COMPUTABLE",OR(L46="",M46="")),"GENEROUS NEEDS EVIDENCE",IF(AND(J46="COMPUTABLE",G46="NOT_COMPUTABLE",K46=""),"PROXY FIELD NEEDED","OK")))))</f>
        <v>MISSING JUDGMENT</v>
      </c>
    </row>
    <row r="47" customFormat="false" ht="23.85" hidden="false" customHeight="false" outlineLevel="0" collapsed="false">
      <c r="A47" s="6" t="s">
        <v>117</v>
      </c>
      <c r="B47" s="6" t="s">
        <v>101</v>
      </c>
      <c r="C47" s="6" t="s">
        <v>77</v>
      </c>
      <c r="D47" s="6" t="s">
        <v>113</v>
      </c>
      <c r="E47" s="6" t="s">
        <v>59</v>
      </c>
      <c r="F47" s="6" t="s">
        <v>60</v>
      </c>
      <c r="G47" s="7"/>
      <c r="H47" s="7"/>
      <c r="I47" s="7"/>
      <c r="J47" s="7"/>
      <c r="K47" s="7"/>
      <c r="L47" s="7"/>
      <c r="M47" s="7"/>
      <c r="N47" s="7"/>
      <c r="O47" s="8" t="str">
        <f aca="false">IF(OR(G47="",J47=""),"MISSING JUDGMENT",IF(AND(G47="COMPUTABLE",J47="NOT_COMPUTABLE"),"INVALID: strict&gt;generous",IF(AND(G47="COMPUTABLE",OR(H47="",I47="")),"STRICT NEEDS EVIDENCE",IF(AND(J47="COMPUTABLE",OR(L47="",M47="")),"GENEROUS NEEDS EVIDENCE",IF(AND(J47="COMPUTABLE",G47="NOT_COMPUTABLE",K47=""),"PROXY FIELD NEEDED","OK")))))</f>
        <v>MISSING JUDGMENT</v>
      </c>
    </row>
    <row r="48" customFormat="false" ht="15" hidden="false" customHeight="false" outlineLevel="0" collapsed="false">
      <c r="A48" s="6" t="s">
        <v>118</v>
      </c>
      <c r="B48" s="6" t="s">
        <v>101</v>
      </c>
      <c r="C48" s="6" t="s">
        <v>77</v>
      </c>
      <c r="D48" s="6" t="s">
        <v>113</v>
      </c>
      <c r="E48" s="6" t="s">
        <v>62</v>
      </c>
      <c r="F48" s="6" t="s">
        <v>63</v>
      </c>
      <c r="G48" s="7"/>
      <c r="H48" s="7"/>
      <c r="I48" s="7"/>
      <c r="J48" s="7"/>
      <c r="K48" s="7"/>
      <c r="L48" s="7"/>
      <c r="M48" s="7"/>
      <c r="N48" s="7"/>
      <c r="O48" s="8" t="str">
        <f aca="false">IF(OR(G48="",J48=""),"MISSING JUDGMENT",IF(AND(G48="COMPUTABLE",J48="NOT_COMPUTABLE"),"INVALID: strict&gt;generous",IF(AND(G48="COMPUTABLE",OR(H48="",I48="")),"STRICT NEEDS EVIDENCE",IF(AND(J48="COMPUTABLE",OR(L48="",M48="")),"GENEROUS NEEDS EVIDENCE",IF(AND(J48="COMPUTABLE",G48="NOT_COMPUTABLE",K48=""),"PROXY FIELD NEEDED","OK")))))</f>
        <v>MISSING JUDGMENT</v>
      </c>
    </row>
    <row r="49" customFormat="false" ht="15" hidden="false" customHeight="false" outlineLevel="0" collapsed="false">
      <c r="A49" s="6" t="s">
        <v>119</v>
      </c>
      <c r="B49" s="6" t="s">
        <v>101</v>
      </c>
      <c r="C49" s="6" t="s">
        <v>77</v>
      </c>
      <c r="D49" s="6" t="s">
        <v>113</v>
      </c>
      <c r="E49" s="6" t="s">
        <v>65</v>
      </c>
      <c r="F49" s="6" t="s">
        <v>66</v>
      </c>
      <c r="G49" s="7"/>
      <c r="H49" s="7"/>
      <c r="I49" s="7"/>
      <c r="J49" s="7"/>
      <c r="K49" s="7"/>
      <c r="L49" s="7"/>
      <c r="M49" s="7"/>
      <c r="N49" s="7"/>
      <c r="O49" s="8" t="str">
        <f aca="false">IF(OR(G49="",J49=""),"MISSING JUDGMENT",IF(AND(G49="COMPUTABLE",J49="NOT_COMPUTABLE"),"INVALID: strict&gt;generous",IF(AND(G49="COMPUTABLE",OR(H49="",I49="")),"STRICT NEEDS EVIDENCE",IF(AND(J49="COMPUTABLE",OR(L49="",M49="")),"GENEROUS NEEDS EVIDENCE",IF(AND(J49="COMPUTABLE",G49="NOT_COMPUTABLE",K49=""),"PROXY FIELD NEEDED","OK")))))</f>
        <v>MISSING JUDGMENT</v>
      </c>
    </row>
    <row r="50" customFormat="false" ht="15" hidden="false" customHeight="false" outlineLevel="0" collapsed="false">
      <c r="A50" s="6" t="s">
        <v>120</v>
      </c>
      <c r="B50" s="6" t="s">
        <v>101</v>
      </c>
      <c r="C50" s="6" t="s">
        <v>77</v>
      </c>
      <c r="D50" s="6" t="s">
        <v>113</v>
      </c>
      <c r="E50" s="6" t="s">
        <v>68</v>
      </c>
      <c r="F50" s="6" t="s">
        <v>69</v>
      </c>
      <c r="G50" s="7"/>
      <c r="H50" s="7"/>
      <c r="I50" s="7"/>
      <c r="J50" s="7"/>
      <c r="K50" s="7"/>
      <c r="L50" s="7"/>
      <c r="M50" s="7"/>
      <c r="N50" s="7"/>
      <c r="O50" s="8" t="str">
        <f aca="false">IF(OR(G50="",J50=""),"MISSING JUDGMENT",IF(AND(G50="COMPUTABLE",J50="NOT_COMPUTABLE"),"INVALID: strict&gt;generous",IF(AND(G50="COMPUTABLE",OR(H50="",I50="")),"STRICT NEEDS EVIDENCE",IF(AND(J50="COMPUTABLE",OR(L50="",M50="")),"GENEROUS NEEDS EVIDENCE",IF(AND(J50="COMPUTABLE",G50="NOT_COMPUTABLE",K50=""),"PROXY FIELD NEEDED","OK")))))</f>
        <v>MISSING JUDGMENT</v>
      </c>
    </row>
    <row r="51" customFormat="false" ht="15" hidden="false" customHeight="false" outlineLevel="0" collapsed="false">
      <c r="A51" s="6" t="s">
        <v>121</v>
      </c>
      <c r="B51" s="6" t="s">
        <v>101</v>
      </c>
      <c r="C51" s="6" t="s">
        <v>77</v>
      </c>
      <c r="D51" s="6" t="s">
        <v>113</v>
      </c>
      <c r="E51" s="6" t="s">
        <v>71</v>
      </c>
      <c r="F51" s="6" t="s">
        <v>72</v>
      </c>
      <c r="G51" s="7"/>
      <c r="H51" s="7"/>
      <c r="I51" s="7"/>
      <c r="J51" s="7"/>
      <c r="K51" s="7"/>
      <c r="L51" s="7"/>
      <c r="M51" s="7"/>
      <c r="N51" s="7"/>
      <c r="O51" s="8" t="str">
        <f aca="false">IF(OR(G51="",J51=""),"MISSING JUDGMENT",IF(AND(G51="COMPUTABLE",J51="NOT_COMPUTABLE"),"INVALID: strict&gt;generous",IF(AND(G51="COMPUTABLE",OR(H51="",I51="")),"STRICT NEEDS EVIDENCE",IF(AND(J51="COMPUTABLE",OR(L51="",M51="")),"GENEROUS NEEDS EVIDENCE",IF(AND(J51="COMPUTABLE",G51="NOT_COMPUTABLE",K51=""),"PROXY FIELD NEEDED","OK")))))</f>
        <v>MISSING JUDGMENT</v>
      </c>
    </row>
    <row r="52" customFormat="false" ht="15" hidden="false" customHeight="false" outlineLevel="0" collapsed="false">
      <c r="A52" s="6" t="s">
        <v>122</v>
      </c>
      <c r="B52" s="6" t="s">
        <v>101</v>
      </c>
      <c r="C52" s="6" t="s">
        <v>77</v>
      </c>
      <c r="D52" s="6" t="s">
        <v>113</v>
      </c>
      <c r="E52" s="6" t="s">
        <v>74</v>
      </c>
      <c r="F52" s="6" t="s">
        <v>75</v>
      </c>
      <c r="G52" s="7"/>
      <c r="H52" s="7"/>
      <c r="I52" s="7"/>
      <c r="J52" s="7"/>
      <c r="K52" s="7"/>
      <c r="L52" s="7"/>
      <c r="M52" s="7"/>
      <c r="N52" s="7"/>
      <c r="O52" s="8" t="str">
        <f aca="false">IF(OR(G52="",J52=""),"MISSING JUDGMENT",IF(AND(G52="COMPUTABLE",J52="NOT_COMPUTABLE"),"INVALID: strict&gt;generous",IF(AND(G52="COMPUTABLE",OR(H52="",I52="")),"STRICT NEEDS EVIDENCE",IF(AND(J52="COMPUTABLE",OR(L52="",M52="")),"GENEROUS NEEDS EVIDENCE",IF(AND(J52="COMPUTABLE",G52="NOT_COMPUTABLE",K52=""),"PROXY FIELD NEEDED","OK")))))</f>
        <v>MISSING JUDGMENT</v>
      </c>
    </row>
    <row r="53" customFormat="false" ht="15" hidden="false" customHeight="false" outlineLevel="0" collapsed="false">
      <c r="A53" s="6" t="s">
        <v>123</v>
      </c>
      <c r="B53" s="6" t="s">
        <v>101</v>
      </c>
      <c r="C53" s="6" t="s">
        <v>124</v>
      </c>
      <c r="D53" s="6" t="s">
        <v>125</v>
      </c>
      <c r="E53" s="6" t="s">
        <v>49</v>
      </c>
      <c r="F53" s="6" t="s">
        <v>50</v>
      </c>
      <c r="G53" s="7"/>
      <c r="H53" s="7"/>
      <c r="I53" s="7"/>
      <c r="J53" s="7"/>
      <c r="K53" s="7"/>
      <c r="L53" s="7"/>
      <c r="M53" s="7"/>
      <c r="N53" s="7"/>
      <c r="O53" s="8" t="str">
        <f aca="false">IF(OR(G53="",J53=""),"MISSING JUDGMENT",IF(AND(G53="COMPUTABLE",J53="NOT_COMPUTABLE"),"INVALID: strict&gt;generous",IF(AND(G53="COMPUTABLE",OR(H53="",I53="")),"STRICT NEEDS EVIDENCE",IF(AND(J53="COMPUTABLE",OR(L53="",M53="")),"GENEROUS NEEDS EVIDENCE",IF(AND(J53="COMPUTABLE",G53="NOT_COMPUTABLE",K53=""),"PROXY FIELD NEEDED","OK")))))</f>
        <v>MISSING JUDGMENT</v>
      </c>
    </row>
    <row r="54" customFormat="false" ht="15" hidden="false" customHeight="false" outlineLevel="0" collapsed="false">
      <c r="A54" s="6" t="s">
        <v>126</v>
      </c>
      <c r="B54" s="6" t="s">
        <v>101</v>
      </c>
      <c r="C54" s="6" t="s">
        <v>124</v>
      </c>
      <c r="D54" s="6" t="s">
        <v>125</v>
      </c>
      <c r="E54" s="6" t="s">
        <v>37</v>
      </c>
      <c r="F54" s="6" t="s">
        <v>38</v>
      </c>
      <c r="G54" s="7"/>
      <c r="H54" s="7"/>
      <c r="I54" s="7"/>
      <c r="J54" s="7"/>
      <c r="K54" s="7"/>
      <c r="L54" s="7"/>
      <c r="M54" s="7"/>
      <c r="N54" s="7"/>
      <c r="O54" s="8" t="str">
        <f aca="false">IF(OR(G54="",J54=""),"MISSING JUDGMENT",IF(AND(G54="COMPUTABLE",J54="NOT_COMPUTABLE"),"INVALID: strict&gt;generous",IF(AND(G54="COMPUTABLE",OR(H54="",I54="")),"STRICT NEEDS EVIDENCE",IF(AND(J54="COMPUTABLE",OR(L54="",M54="")),"GENEROUS NEEDS EVIDENCE",IF(AND(J54="COMPUTABLE",G54="NOT_COMPUTABLE",K54=""),"PROXY FIELD NEEDED","OK")))))</f>
        <v>MISSING JUDGMENT</v>
      </c>
    </row>
    <row r="55" customFormat="false" ht="23.85" hidden="false" customHeight="false" outlineLevel="0" collapsed="false">
      <c r="A55" s="6" t="s">
        <v>127</v>
      </c>
      <c r="B55" s="6" t="s">
        <v>101</v>
      </c>
      <c r="C55" s="6" t="s">
        <v>124</v>
      </c>
      <c r="D55" s="6" t="s">
        <v>125</v>
      </c>
      <c r="E55" s="6" t="s">
        <v>53</v>
      </c>
      <c r="F55" s="6" t="s">
        <v>54</v>
      </c>
      <c r="G55" s="7"/>
      <c r="H55" s="7"/>
      <c r="I55" s="7"/>
      <c r="J55" s="7"/>
      <c r="K55" s="7"/>
      <c r="L55" s="7"/>
      <c r="M55" s="7"/>
      <c r="N55" s="7"/>
      <c r="O55" s="8" t="str">
        <f aca="false">IF(OR(G55="",J55=""),"MISSING JUDGMENT",IF(AND(G55="COMPUTABLE",J55="NOT_COMPUTABLE"),"INVALID: strict&gt;generous",IF(AND(G55="COMPUTABLE",OR(H55="",I55="")),"STRICT NEEDS EVIDENCE",IF(AND(J55="COMPUTABLE",OR(L55="",M55="")),"GENEROUS NEEDS EVIDENCE",IF(AND(J55="COMPUTABLE",G55="NOT_COMPUTABLE",K55=""),"PROXY FIELD NEEDED","OK")))))</f>
        <v>MISSING JUDGMENT</v>
      </c>
    </row>
    <row r="56" customFormat="false" ht="23.85" hidden="false" customHeight="false" outlineLevel="0" collapsed="false">
      <c r="A56" s="6" t="s">
        <v>128</v>
      </c>
      <c r="B56" s="6" t="s">
        <v>101</v>
      </c>
      <c r="C56" s="6" t="s">
        <v>124</v>
      </c>
      <c r="D56" s="6" t="s">
        <v>125</v>
      </c>
      <c r="E56" s="6" t="s">
        <v>56</v>
      </c>
      <c r="F56" s="6" t="s">
        <v>57</v>
      </c>
      <c r="G56" s="7"/>
      <c r="H56" s="7"/>
      <c r="I56" s="7"/>
      <c r="J56" s="7"/>
      <c r="K56" s="7"/>
      <c r="L56" s="7"/>
      <c r="M56" s="7"/>
      <c r="N56" s="7"/>
      <c r="O56" s="8" t="str">
        <f aca="false">IF(OR(G56="",J56=""),"MISSING JUDGMENT",IF(AND(G56="COMPUTABLE",J56="NOT_COMPUTABLE"),"INVALID: strict&gt;generous",IF(AND(G56="COMPUTABLE",OR(H56="",I56="")),"STRICT NEEDS EVIDENCE",IF(AND(J56="COMPUTABLE",OR(L56="",M56="")),"GENEROUS NEEDS EVIDENCE",IF(AND(J56="COMPUTABLE",G56="NOT_COMPUTABLE",K56=""),"PROXY FIELD NEEDED","OK")))))</f>
        <v>MISSING JUDGMENT</v>
      </c>
    </row>
    <row r="57" customFormat="false" ht="23.85" hidden="false" customHeight="false" outlineLevel="0" collapsed="false">
      <c r="A57" s="6" t="s">
        <v>129</v>
      </c>
      <c r="B57" s="6" t="s">
        <v>101</v>
      </c>
      <c r="C57" s="6" t="s">
        <v>124</v>
      </c>
      <c r="D57" s="6" t="s">
        <v>125</v>
      </c>
      <c r="E57" s="6" t="s">
        <v>59</v>
      </c>
      <c r="F57" s="6" t="s">
        <v>60</v>
      </c>
      <c r="G57" s="7"/>
      <c r="H57" s="7"/>
      <c r="I57" s="7"/>
      <c r="J57" s="7"/>
      <c r="K57" s="7"/>
      <c r="L57" s="7"/>
      <c r="M57" s="7"/>
      <c r="N57" s="7"/>
      <c r="O57" s="8" t="str">
        <f aca="false">IF(OR(G57="",J57=""),"MISSING JUDGMENT",IF(AND(G57="COMPUTABLE",J57="NOT_COMPUTABLE"),"INVALID: strict&gt;generous",IF(AND(G57="COMPUTABLE",OR(H57="",I57="")),"STRICT NEEDS EVIDENCE",IF(AND(J57="COMPUTABLE",OR(L57="",M57="")),"GENEROUS NEEDS EVIDENCE",IF(AND(J57="COMPUTABLE",G57="NOT_COMPUTABLE",K57=""),"PROXY FIELD NEEDED","OK")))))</f>
        <v>MISSING JUDGMENT</v>
      </c>
    </row>
    <row r="58" customFormat="false" ht="15" hidden="false" customHeight="false" outlineLevel="0" collapsed="false">
      <c r="A58" s="6" t="s">
        <v>130</v>
      </c>
      <c r="B58" s="6" t="s">
        <v>101</v>
      </c>
      <c r="C58" s="6" t="s">
        <v>124</v>
      </c>
      <c r="D58" s="6" t="s">
        <v>125</v>
      </c>
      <c r="E58" s="6" t="s">
        <v>62</v>
      </c>
      <c r="F58" s="6" t="s">
        <v>63</v>
      </c>
      <c r="G58" s="7"/>
      <c r="H58" s="7"/>
      <c r="I58" s="7"/>
      <c r="J58" s="7"/>
      <c r="K58" s="7"/>
      <c r="L58" s="7"/>
      <c r="M58" s="7"/>
      <c r="N58" s="7"/>
      <c r="O58" s="8" t="str">
        <f aca="false">IF(OR(G58="",J58=""),"MISSING JUDGMENT",IF(AND(G58="COMPUTABLE",J58="NOT_COMPUTABLE"),"INVALID: strict&gt;generous",IF(AND(G58="COMPUTABLE",OR(H58="",I58="")),"STRICT NEEDS EVIDENCE",IF(AND(J58="COMPUTABLE",OR(L58="",M58="")),"GENEROUS NEEDS EVIDENCE",IF(AND(J58="COMPUTABLE",G58="NOT_COMPUTABLE",K58=""),"PROXY FIELD NEEDED","OK")))))</f>
        <v>MISSING JUDGMENT</v>
      </c>
    </row>
    <row r="59" customFormat="false" ht="15" hidden="false" customHeight="false" outlineLevel="0" collapsed="false">
      <c r="A59" s="6" t="s">
        <v>131</v>
      </c>
      <c r="B59" s="6" t="s">
        <v>101</v>
      </c>
      <c r="C59" s="6" t="s">
        <v>124</v>
      </c>
      <c r="D59" s="6" t="s">
        <v>125</v>
      </c>
      <c r="E59" s="6" t="s">
        <v>65</v>
      </c>
      <c r="F59" s="6" t="s">
        <v>66</v>
      </c>
      <c r="G59" s="7"/>
      <c r="H59" s="7"/>
      <c r="I59" s="7"/>
      <c r="J59" s="7"/>
      <c r="K59" s="7"/>
      <c r="L59" s="7"/>
      <c r="M59" s="7"/>
      <c r="N59" s="7"/>
      <c r="O59" s="8" t="str">
        <f aca="false">IF(OR(G59="",J59=""),"MISSING JUDGMENT",IF(AND(G59="COMPUTABLE",J59="NOT_COMPUTABLE"),"INVALID: strict&gt;generous",IF(AND(G59="COMPUTABLE",OR(H59="",I59="")),"STRICT NEEDS EVIDENCE",IF(AND(J59="COMPUTABLE",OR(L59="",M59="")),"GENEROUS NEEDS EVIDENCE",IF(AND(J59="COMPUTABLE",G59="NOT_COMPUTABLE",K59=""),"PROXY FIELD NEEDED","OK")))))</f>
        <v>MISSING JUDGMENT</v>
      </c>
    </row>
    <row r="60" customFormat="false" ht="15" hidden="false" customHeight="false" outlineLevel="0" collapsed="false">
      <c r="A60" s="6" t="s">
        <v>132</v>
      </c>
      <c r="B60" s="6" t="s">
        <v>101</v>
      </c>
      <c r="C60" s="6" t="s">
        <v>124</v>
      </c>
      <c r="D60" s="6" t="s">
        <v>125</v>
      </c>
      <c r="E60" s="6" t="s">
        <v>68</v>
      </c>
      <c r="F60" s="6" t="s">
        <v>69</v>
      </c>
      <c r="G60" s="7"/>
      <c r="H60" s="7"/>
      <c r="I60" s="7"/>
      <c r="J60" s="7"/>
      <c r="K60" s="7"/>
      <c r="L60" s="7"/>
      <c r="M60" s="7"/>
      <c r="N60" s="7"/>
      <c r="O60" s="8" t="str">
        <f aca="false">IF(OR(G60="",J60=""),"MISSING JUDGMENT",IF(AND(G60="COMPUTABLE",J60="NOT_COMPUTABLE"),"INVALID: strict&gt;generous",IF(AND(G60="COMPUTABLE",OR(H60="",I60="")),"STRICT NEEDS EVIDENCE",IF(AND(J60="COMPUTABLE",OR(L60="",M60="")),"GENEROUS NEEDS EVIDENCE",IF(AND(J60="COMPUTABLE",G60="NOT_COMPUTABLE",K60=""),"PROXY FIELD NEEDED","OK")))))</f>
        <v>MISSING JUDGMENT</v>
      </c>
    </row>
    <row r="61" customFormat="false" ht="15" hidden="false" customHeight="false" outlineLevel="0" collapsed="false">
      <c r="A61" s="6" t="s">
        <v>133</v>
      </c>
      <c r="B61" s="6" t="s">
        <v>101</v>
      </c>
      <c r="C61" s="6" t="s">
        <v>124</v>
      </c>
      <c r="D61" s="6" t="s">
        <v>125</v>
      </c>
      <c r="E61" s="6" t="s">
        <v>71</v>
      </c>
      <c r="F61" s="6" t="s">
        <v>72</v>
      </c>
      <c r="G61" s="7"/>
      <c r="H61" s="7"/>
      <c r="I61" s="7"/>
      <c r="J61" s="7"/>
      <c r="K61" s="7"/>
      <c r="L61" s="7"/>
      <c r="M61" s="7"/>
      <c r="N61" s="7"/>
      <c r="O61" s="8" t="str">
        <f aca="false">IF(OR(G61="",J61=""),"MISSING JUDGMENT",IF(AND(G61="COMPUTABLE",J61="NOT_COMPUTABLE"),"INVALID: strict&gt;generous",IF(AND(G61="COMPUTABLE",OR(H61="",I61="")),"STRICT NEEDS EVIDENCE",IF(AND(J61="COMPUTABLE",OR(L61="",M61="")),"GENEROUS NEEDS EVIDENCE",IF(AND(J61="COMPUTABLE",G61="NOT_COMPUTABLE",K61=""),"PROXY FIELD NEEDED","OK")))))</f>
        <v>MISSING JUDGMENT</v>
      </c>
    </row>
    <row r="62" customFormat="false" ht="15" hidden="false" customHeight="false" outlineLevel="0" collapsed="false">
      <c r="A62" s="6" t="s">
        <v>134</v>
      </c>
      <c r="B62" s="6" t="s">
        <v>101</v>
      </c>
      <c r="C62" s="6" t="s">
        <v>124</v>
      </c>
      <c r="D62" s="6" t="s">
        <v>125</v>
      </c>
      <c r="E62" s="6" t="s">
        <v>74</v>
      </c>
      <c r="F62" s="6" t="s">
        <v>75</v>
      </c>
      <c r="G62" s="7"/>
      <c r="H62" s="7"/>
      <c r="I62" s="7"/>
      <c r="J62" s="7"/>
      <c r="K62" s="7"/>
      <c r="L62" s="7"/>
      <c r="M62" s="7"/>
      <c r="N62" s="7"/>
      <c r="O62" s="8" t="str">
        <f aca="false">IF(OR(G62="",J62=""),"MISSING JUDGMENT",IF(AND(G62="COMPUTABLE",J62="NOT_COMPUTABLE"),"INVALID: strict&gt;generous",IF(AND(G62="COMPUTABLE",OR(H62="",I62="")),"STRICT NEEDS EVIDENCE",IF(AND(J62="COMPUTABLE",OR(L62="",M62="")),"GENEROUS NEEDS EVIDENCE",IF(AND(J62="COMPUTABLE",G62="NOT_COMPUTABLE",K62=""),"PROXY FIELD NEEDED","OK")))))</f>
        <v>MISSING JUDGMENT</v>
      </c>
    </row>
  </sheetData>
  <dataValidations count="1">
    <dataValidation allowBlank="true" errorStyle="stop" operator="between" showDropDown="false" showErrorMessage="false" showInputMessage="false" sqref="G3:G62 J3:J62" type="list">
      <formula1>"COMPUTABLE,NOT_COMPUTABLE"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" min="3" style="0" width="34"/>
  </cols>
  <sheetData>
    <row r="1" customFormat="false" ht="15" hidden="false" customHeight="false" outlineLevel="0" collapsed="false">
      <c r="A1" s="9" t="s">
        <v>135</v>
      </c>
    </row>
    <row r="2" customFormat="false" ht="15" hidden="false" customHeight="false" outlineLevel="0" collapsed="false">
      <c r="A2" s="10"/>
    </row>
    <row r="3" customFormat="false" ht="15" hidden="false" customHeight="false" outlineLevel="0" collapsed="false">
      <c r="A3" s="10" t="s">
        <v>136</v>
      </c>
      <c r="B3" s="10" t="n">
        <f aca="false">SUMPRODUCT((Coding!G3:G62&lt;&gt;"")*(Coding!J3:J62&lt;&gt;""))</f>
        <v>0</v>
      </c>
      <c r="C3" s="11" t="s">
        <v>137</v>
      </c>
    </row>
    <row r="4" customFormat="false" ht="15" hidden="false" customHeight="false" outlineLevel="0" collapsed="false">
      <c r="A4" s="10" t="s">
        <v>138</v>
      </c>
      <c r="B4" s="10" t="n">
        <f aca="false">COUNTIF(Coding!O3:O62,"OK")</f>
        <v>0</v>
      </c>
      <c r="C4" s="11" t="s">
        <v>139</v>
      </c>
    </row>
    <row r="5" customFormat="false" ht="15" hidden="false" customHeight="false" outlineLevel="0" collapsed="false">
      <c r="A5" s="10" t="s">
        <v>140</v>
      </c>
      <c r="B5" s="10" t="n">
        <f aca="false">COUNTIF(Coding!G3:G62,"COMPUTABLE")</f>
        <v>0</v>
      </c>
      <c r="C5" s="11" t="s">
        <v>141</v>
      </c>
    </row>
    <row r="6" customFormat="false" ht="15" hidden="false" customHeight="false" outlineLevel="0" collapsed="false">
      <c r="A6" s="10" t="s">
        <v>142</v>
      </c>
      <c r="B6" s="10" t="n">
        <f aca="false">COUNTIF(Coding!J3:J62,"COMPUTABLE")</f>
        <v>0</v>
      </c>
      <c r="C6" s="11" t="s">
        <v>141</v>
      </c>
    </row>
    <row r="7" customFormat="false" ht="15" hidden="false" customHeight="false" outlineLevel="0" collapsed="false">
      <c r="A7" s="10" t="s">
        <v>143</v>
      </c>
      <c r="B7" s="10" t="n">
        <f aca="false">COUNTIFS(Coding!B3:B62,"2024",Coding!G3:G62,"COMPUTABLE")</f>
        <v>0</v>
      </c>
      <c r="C7" s="11" t="s">
        <v>144</v>
      </c>
    </row>
    <row r="8" customFormat="false" ht="15" hidden="false" customHeight="false" outlineLevel="0" collapsed="false">
      <c r="A8" s="10" t="s">
        <v>145</v>
      </c>
      <c r="B8" s="10" t="n">
        <f aca="false">COUNTIFS(Coding!B3:B62,"2025-26",Coding!G3:G62,"COMPUTABLE")</f>
        <v>0</v>
      </c>
      <c r="C8" s="11" t="s">
        <v>144</v>
      </c>
    </row>
    <row r="9" customFormat="false" ht="15" hidden="false" customHeight="false" outlineLevel="0" collapsed="false">
      <c r="A9" s="10" t="s">
        <v>146</v>
      </c>
      <c r="B9" s="10" t="n">
        <f aca="false">COUNTIFS(Coding!B3:B62,"2024",Coding!J3:J62,"COMPUTABLE")</f>
        <v>0</v>
      </c>
      <c r="C9" s="11" t="s">
        <v>144</v>
      </c>
    </row>
    <row r="10" customFormat="false" ht="15" hidden="false" customHeight="false" outlineLevel="0" collapsed="false">
      <c r="A10" s="10" t="s">
        <v>147</v>
      </c>
      <c r="B10" s="10" t="n">
        <f aca="false">COUNTIFS(Coding!B3:B62,"2025-26",Coding!J3:J62,"COMPUTABLE")</f>
        <v>0</v>
      </c>
      <c r="C10" s="11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2026-07-10T20:35:14Z</dcterms:created>
  <dc:creator>openpyxl</dc:creator>
  <dc:description/>
  <dc:language>en-US</dc:language>
  <cp:lastModifiedBy/>
  <dcterms:modified xsi:type="dcterms:W3CDTF">2026-07-10T20:35:14Z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