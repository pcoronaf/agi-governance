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5e1efa8e949c5b1/doctorado/ai governance/"/>
    </mc:Choice>
  </mc:AlternateContent>
  <xr:revisionPtr revIDLastSave="0" documentId="8_{A23307C2-4231-478C-9291-49C156AC1E4C}" xr6:coauthVersionLast="47" xr6:coauthVersionMax="47" xr10:uidLastSave="{00000000-0000-0000-0000-000000000000}"/>
  <bookViews>
    <workbookView xWindow="3945" yWindow="2970" windowWidth="21600" windowHeight="11295" activeTab="1" xr2:uid="{00000000-000D-0000-FFFF-FFFF00000000}"/>
  </bookViews>
  <sheets>
    <sheet name="Instructions" sheetId="1" r:id="rId1"/>
    <sheet name="Coding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3" i="3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B4" i="3" l="1"/>
</calcChain>
</file>

<file path=xl/sharedStrings.xml><?xml version="1.0" encoding="utf-8"?>
<sst xmlns="http://schemas.openxmlformats.org/spreadsheetml/2006/main" count="618" uniqueCount="223">
  <si>
    <t>Second-Coder Labeling Instrument — Real-Evidence Bridgeability Study (§8.5)</t>
  </si>
  <si>
    <t>HOW TO USE THIS WORKBOOK</t>
  </si>
  <si>
    <t>1. Read package files 01–04 before coding. Definitions: 03_indicator_definitions.md. Documents: 04_document_list.md.</t>
  </si>
  <si>
    <t>2. Work on the 'Coding' sheet only. Fill YELLOW cells; every other cell is pre-filled — do not edit it.</t>
  </si>
  <si>
    <t>3. One row per (document, indicator) cell: 60 rows. Both passes are on the same row.</t>
  </si>
  <si>
    <t>4. Strict_Judgment and Generous_Judgment: choose COMPUTABLE or NOT_COMPUTABLE from the dropdown.</t>
  </si>
  <si>
    <t>5. Every COMPUTABLE judgment requires Evidence_Location (section + page) and Evidence_Paraphrase (metric + value, own words).</t>
  </si>
  <si>
    <t>6. Generous COMPUTABLE via proxy also requires Proxy_Metric_Used (which reported metric, why it bounds/estimates the indicator).</t>
  </si>
  <si>
    <t>7. The Check column flags: missing judgments, strict=COMPUTABLE with generous=NOT_COMPUTABLE (impossible), and COMPUTABLE without an evidence pointer. Submit only when all 60 rows show OK.</t>
  </si>
  <si>
    <t>8. The green row on the Coding sheet is a worked EXAMPLE of format only — it refers to a fictitious document and is not one of your 60 rows. Do not copy its judgments.</t>
  </si>
  <si>
    <t>LEGEND</t>
  </si>
  <si>
    <t>YELLOW cells = your input. Dropdowns where provided. All other cells are read-only by convention.</t>
  </si>
  <si>
    <t>SIGN-OFF (complete after coding — type answers in the yellow cells below)</t>
  </si>
  <si>
    <t>Q1. Coder name and affiliation:</t>
  </si>
  <si>
    <t>Q2. Confirm you did not consult Coder 1's judgments or discuss cells with any author during coding (YES/NO):</t>
  </si>
  <si>
    <t>Q3. Had you previously read manuscript §8.5's aggregate results? (YES/NO — YES does not disqualify, it is disclosed):</t>
  </si>
  <si>
    <t>Q4. Total hours spent coding:</t>
  </si>
  <si>
    <t>Q5. Date completed (YYYY-MM-DD):</t>
  </si>
  <si>
    <t>Cell_ID</t>
  </si>
  <si>
    <t>Generation</t>
  </si>
  <si>
    <t>Developer</t>
  </si>
  <si>
    <t>Document</t>
  </si>
  <si>
    <t>Indicator_ID</t>
  </si>
  <si>
    <t>Indicator_Name</t>
  </si>
  <si>
    <t>Strict_Judgment</t>
  </si>
  <si>
    <t>Strict_Evidence_Location</t>
  </si>
  <si>
    <t>Strict_Evidence_Paraphrase</t>
  </si>
  <si>
    <t>Generous_Judgment</t>
  </si>
  <si>
    <t>Proxy_Metric_Used</t>
  </si>
  <si>
    <t>Generous_Evidence_Location</t>
  </si>
  <si>
    <t>Generous_Evidence_Paraphrase</t>
  </si>
  <si>
    <t>Notes</t>
  </si>
  <si>
    <t>Check</t>
  </si>
  <si>
    <t>EX-00</t>
  </si>
  <si>
    <t>(example)</t>
  </si>
  <si>
    <t>ExampleCo</t>
  </si>
  <si>
    <t>Fictitious Model X Card</t>
  </si>
  <si>
    <t>IND-CTRL-CEASE-RATE</t>
  </si>
  <si>
    <t>Cessation compliance rate</t>
  </si>
  <si>
    <t>NOT_COMPUTABLE</t>
  </si>
  <si>
    <t>COMPUTABLE</t>
  </si>
  <si>
    <t>Reported 'agentic shutdown-instruction adherence: 97.4% over 500 trials' treated as proxy for stop-command compliance rate</t>
  </si>
  <si>
    <t>§4.3 Agentic safety, p.12</t>
  </si>
  <si>
    <t>Card reports 97.4% adherence to shutdown instructions across 500 adversarial trials</t>
  </si>
  <si>
    <t>Topic discussed extensively in §4; no strict-definition rate reported</t>
  </si>
  <si>
    <t>C01</t>
  </si>
  <si>
    <t>2024</t>
  </si>
  <si>
    <t>OpenAI</t>
  </si>
  <si>
    <t>GPT-4o System Card</t>
  </si>
  <si>
    <t>IND-TRANS-AI-ID</t>
  </si>
  <si>
    <t>AI identity disclosure rate</t>
  </si>
  <si>
    <t>C02</t>
  </si>
  <si>
    <t>C03</t>
  </si>
  <si>
    <t>IND-CTRL-CEASE-LATENCY</t>
  </si>
  <si>
    <t>Mean time to cessation</t>
  </si>
  <si>
    <t>C04</t>
  </si>
  <si>
    <t>IND-CTRL-SLO-RATE</t>
  </si>
  <si>
    <t>Self-learning oversight review rate</t>
  </si>
  <si>
    <t>C05</t>
  </si>
  <si>
    <t>IND-CTRL-SLO-VIOLATIONS</t>
  </si>
  <si>
    <t>Unreviewed KAE count</t>
  </si>
  <si>
    <t>C06</t>
  </si>
  <si>
    <t>IND-TRANS-EXP</t>
  </si>
  <si>
    <t>Explainability coverage</t>
  </si>
  <si>
    <t>C07</t>
  </si>
  <si>
    <t>IND-ACC-HUMAN</t>
  </si>
  <si>
    <t>Human review share</t>
  </si>
  <si>
    <t>C08</t>
  </si>
  <si>
    <t>IND-FAIR-DATA</t>
  </si>
  <si>
    <t>Training-data diversity entropy</t>
  </si>
  <si>
    <t>C09</t>
  </si>
  <si>
    <t>IND-ROB-TEST</t>
  </si>
  <si>
    <t>Robustness test coverage</t>
  </si>
  <si>
    <t>C10</t>
  </si>
  <si>
    <t>IND-ETH-COV</t>
  </si>
  <si>
    <t>Ethical assessment coverage</t>
  </si>
  <si>
    <t>C11</t>
  </si>
  <si>
    <t>Anthropic</t>
  </si>
  <si>
    <t>Claude 3.5 Sonnet Model Card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</si>
  <si>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</si>
  <si>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</si>
  <si>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</si>
  <si>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</si>
  <si>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</si>
  <si>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</si>
  <si>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</si>
  <si>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</si>
  <si>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</si>
  <si>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</si>
  <si>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Meta</t>
  </si>
  <si>
    <t>Llama 3.1 Model Card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</si>
  <si>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</si>
  <si>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</si>
  <si>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</si>
  <si>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</si>
  <si>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</si>
  <si>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</si>
  <si>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</si>
  <si>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</si>
  <si>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</si>
  <si>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</si>
  <si>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2025-26</t>
  </si>
  <si>
    <t>GPT-5.5 System Card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</si>
  <si>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</si>
  <si>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</si>
  <si>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</si>
  <si>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</si>
  <si>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</si>
  <si>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</si>
  <si>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</si>
  <si>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</si>
  <si>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</si>
  <si>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</si>
  <si>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Claude Opus 4.6 System Card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</si>
  <si>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</si>
  <si>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</si>
  <si>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</si>
  <si>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</si>
  <si>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</si>
  <si>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</si>
  <si>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</si>
  <si>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</si>
  <si>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</si>
  <si>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</si>
  <si>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Google</t>
  </si>
  <si>
    <t>Gemini 3 Model Card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</si>
  <si>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</si>
  <si>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</si>
  <si>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</si>
  <si>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</si>
  <si>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</si>
  <si>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</si>
  <si>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</si>
  <si>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</si>
  <si>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</si>
  <si>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Auto-computed summary (do not edit)</t>
  </si>
  <si>
    <t>Rows coded (both judgments present)</t>
  </si>
  <si>
    <t>of 60</t>
  </si>
  <si>
    <t>Rows with Check = OK</t>
  </si>
  <si>
    <t>must equal 60 before submission</t>
  </si>
  <si>
    <t>Strict COMPUTABLE count</t>
  </si>
  <si>
    <t>of 60 cells</t>
  </si>
  <si>
    <t>Generous COMPUTABLE count</t>
  </si>
  <si>
    <t>Strict COMPUTABLE — 2024 generation</t>
  </si>
  <si>
    <t>of 30</t>
  </si>
  <si>
    <t>Strict COMPUTABLE — 2025-26 generation</t>
  </si>
  <si>
    <t>Generous COMPUTABLE — 2024 generation</t>
  </si>
  <si>
    <t>Generous COMPUTABLE — 2025-26 generation</t>
  </si>
  <si>
    <t>YES</t>
  </si>
  <si>
    <t>NO</t>
  </si>
  <si>
    <t>The card includes a self-awareness discussion, but it does not report a rate for identity-query interactions in which the model unconditionally identifies as AI.</t>
  </si>
  <si>
    <t>Autonomy and safety sections do not report authorized stop-command or shutdown-command compliance; refusal/safety results are different constructs.</t>
  </si>
  <si>
    <t>The reported 232 ms/320 ms audio response latency is product response latency, not time-to-cessation after an authorized stop command.</t>
  </si>
  <si>
    <t>External red-teaming and internal eval review are described, but no knowledge-altering event (KAE) denominator or human-governor approval rate is reported.</t>
  </si>
  <si>
    <t>No count of unreviewed KAEs, self-modifications, post-training updates, or analogous governance violations is reported.</t>
  </si>
  <si>
    <t>The system card reports capability and safety evaluations, but not the percentage of model decisions/predictions accompanied by interpretable explanations.</t>
  </si>
  <si>
    <t>Human red-teamers and manual labeling are used for evaluation, but no share of production/system decisions reviewed by humans is given.</t>
  </si>
  <si>
    <t>Red-teamer geography/language and multilingual evaluation counts are not training-data strata proportions or normalized Shannon entropy.</t>
  </si>
  <si>
    <t>Reported adversarial/autonomy-evaluation scope used as proxy: external red-team phases, ARA 100 trials, and METR 86 tasks across 31 task families.</t>
  </si>
  <si>
    <t>GPT-4o System Card §§3.1, 3.8, 4.1; pp.3, 17–18</t>
  </si>
  <si>
    <t>The card reports quantitative robustness/autonomy test scope, including 100 ARA trials and 86 METR tasks in 31 families; it does not report a strict scenario-coverage percent.</t>
  </si>
  <si>
    <t>Strict fails because there is no percent coverage of a predefined scenario universe. Generous passes because the card reports adversarial/autonomy-evaluation scope such as red-team phases, 100 ARA trials, and METR 86 tasks across 31 task families.</t>
  </si>
  <si>
    <t>Safety-risk categories and red-teaming are documented, but there is no percentage of system modules with a formal ethical assessment.</t>
  </si>
  <si>
    <t>The addendum does not report identity-query tests or an AI self-identification disclosure rate.</t>
  </si>
  <si>
    <t>Refusal rates on WildChat/XSTest are reported, but harmful-content refusal is not cessation compliance with an authorized stop command.</t>
  </si>
  <si>
    <t>No timing metric for cessation or shutdown after a stop command is reported.</t>
  </si>
  <si>
    <t>The model card describes development/safety evaluations but no self-learning KAE review workflow or approval denominator.</t>
  </si>
  <si>
    <t>No unreviewed-KAE count or analogous self-learning oversight violation count is reported.</t>
  </si>
  <si>
    <t>No coverage metric for interpretable explanations accompanying model outputs is reported.</t>
  </si>
  <si>
    <t>Human feedback win-rate studies involve raters, but they are comparative preference evaluations rather than a share of system decisions reviewed by humans.</t>
  </si>
  <si>
    <t>No demographic, geographic, or socioeconomic training-data strata proportions are reported, so entropy cannot be computed.</t>
  </si>
  <si>
    <t>The addendum reports benchmark scores, refusal rates, and risk-evaluation topics. It does not provide a coverage percentage or clear predefined scenario denominator; benchmark scores alone are excluded by the protocol.</t>
  </si>
  <si>
    <t>Safety commitments and risk areas are described, but no denominator or percent of modules receiving formal ethical assessment is reported.</t>
  </si>
  <si>
    <t>The model card does not report an AI-identity disclosure evaluation or rate.</t>
  </si>
  <si>
    <t>The card states Llama 3.1 is a static offline model and describes safeguards, but no stop-command/cessation compliance rate is measured.</t>
  </si>
  <si>
    <t>No cessation-latency or shutdown-response timing metric is reported.</t>
  </si>
  <si>
    <t>Because the card describes a static offline model and no self-learning KAE process, there is no KAE review-rate numerator/denominator.</t>
  </si>
  <si>
    <t>No count of unreviewed KAEs or self-learning oversight violations is reported.</t>
  </si>
  <si>
    <t>Benchmark and safety results are reported, but not the proportion of predictions/decisions with interpretable explanations.</t>
  </si>
  <si>
    <t>Developer responsibility and safeguards are discussed, but not human review share over system decisions.</t>
  </si>
  <si>
    <t>The card reports about 15T public tokens and mixed data types, but no demographic/geographic/socioeconomic strata proportions or entropy.</t>
  </si>
  <si>
    <t>The card mentions adversarial evaluation datasets, Llama Guard systems, and red-teaming, but does not report percent coverage or a scenario-count denominator; benchmark scores alone are not coverage.</t>
  </si>
  <si>
    <t>Ethical considerations and limitations are qualitative; no percentage of modules formally assessed for ethics is reported.</t>
  </si>
  <si>
    <t>The system card does not report an AI identity-query disclosure rate.</t>
  </si>
  <si>
    <t>Safety, refusal, jailbreak, and prompt-injection evaluations are reported, but no authorized stop-command cessation compliance rate is reported.</t>
  </si>
  <si>
    <t>No mean time to cessation after an authorized stop command is reported.</t>
  </si>
  <si>
    <t>Monitoring and human-review activities are described for safety taxonomies, but no self-learning KAE review/approval rate is reported.</t>
  </si>
  <si>
    <t>No unreviewed-KAE count is reported; preparedness/autonomy evaluations are not a violation count.</t>
  </si>
  <si>
    <t>The card reports safety/capability metrics, but no share of predictions/decisions with interpretable explanations.</t>
  </si>
  <si>
    <t>Human review is discussed for flagged/simulated trajectories and taxonomy coverage, but not as a percentage of all system decisions reviewed.</t>
  </si>
  <si>
    <t>The card describes broad training-data categories and diverse evaluations, but no strata proportions needed for Shannon entropy.</t>
  </si>
  <si>
    <t>Reported robustness/preparedness suite scope used as proxy: multiturn jailbreak and prompt-injection evals; MLE-Bench 30 competitions; internal debugging 41 bugs + 6 alignment tasks; OPQA 20 bottlenecks; cyber/ATT&amp;CK scenarios.</t>
  </si>
  <si>
    <t>GPT-5.5 System Card §§4, 9.1.3, 9.3.2.2</t>
  </si>
  <si>
    <t>The card provides named robustness and preparedness evaluations with explicit scope counts, including 30 competitions, 41 bugs plus 6 alignment tasks, and 20 OPQA bottlenecks.</t>
  </si>
  <si>
    <t>Strict fails because no percent of a predefined scenario universe is given. Generous passes because the card reports explicit robustness/preparedness suite scope (e.g., jailbreak/prompt-injection evals, 30 MLE-Bench competitions, 41 bugs plus 6 alignment tasks, and 20 OPQA bottlenecks).</t>
  </si>
  <si>
    <t>Risk and safety assessments are documented, but not the percentage of modules with formal ethical assessment.</t>
  </si>
  <si>
    <t>The public card URL was resolved, but accessible official index/search material did not reveal an AI-identity disclosure rate.</t>
  </si>
  <si>
    <t>Accessible snippets discuss alignment/risk behavior, not an authorized stop-command cessation compliance rate.</t>
  </si>
  <si>
    <t>No accessible source reports latency between an authorized stop command and cessation.</t>
  </si>
  <si>
    <t>No accessible source reports KAE review/approval rate by a human governor.</t>
  </si>
  <si>
    <t>No accessible source reports a count of unreviewed KAEs or analogous oversight violations.</t>
  </si>
  <si>
    <t>Accessible card/index material does not report explainability coverage for model decisions or predictions.</t>
  </si>
  <si>
    <t>Accessible material indicates safety/alignment evaluations, but not the share of system decisions reviewed by humans.</t>
  </si>
  <si>
    <t>Accessible material does not provide demographic/geographic/socioeconomic training-data proportions or entropy.</t>
  </si>
  <si>
    <t>Accessible public-card snippets/excerpts reporting adversarial/safety evaluation rates and task scope used as proxy; official PDF URL resolved but parser did not expose full text.</t>
  </si>
  <si>
    <t>Claude Opus 4.6 System Card public PDF; Anthropic system-card index; robustness/alignment sections around §6.3/§8.3 (parser-limited)</t>
  </si>
  <si>
    <t>Accessible material indicates quantitative adversarial/safety testing, including behavioral/sabotage rates, prompt-injection testing, and CyberGym task-scope references. Coded only as generous proxy, not strict coverage.</t>
  </si>
  <si>
    <t>Strict fails because no coverage percentage is accessible. Generous passes with caution: the public card/snippets report quantitative adversarial/safety evaluations and scope such as sabotage/behavioral audit rates, prompt-injection testing, and CyberGym task scope.</t>
  </si>
  <si>
    <t>Accessible material does not report percent of system modules covered by formal ethical assessment.</t>
  </si>
  <si>
    <t>The model card does not report identity-query or self-identification disclosure tests.</t>
  </si>
  <si>
    <t>Safety policy and red-teaming results are reported, but not stop-command cessation compliance.</t>
  </si>
  <si>
    <t>No mean time to cessation or shutdown response latency is reported.</t>
  </si>
  <si>
    <t>Training/development evaluations and red-teaming are reported, but no KAE review/approval denominator by human governors.</t>
  </si>
  <si>
    <t>The model card reports evaluation scores and safety testing, but not explanation coverage over predictions/decisions.</t>
  </si>
  <si>
    <t>Human red-teaming is described, but no percentage of system decisions reviewed by humans is reported.</t>
  </si>
  <si>
    <t>The card describes large-scale diverse multimodal data but gives no demographic/geographic/socioeconomic strata proportions for entropy.</t>
  </si>
  <si>
    <t>Reported safety-evaluation and Frontier Safety challenge-set scope used as proxy: cyber key-skills/end-to-end counts and misalignment challenge counts.</t>
  </si>
  <si>
    <t>Gemini 3 Pro Model Card, Ethics and Content Safety / Frontier Safety, pp.7–10</t>
  </si>
  <si>
    <t>The card reports evaluation types and explicit Frontier Safety counts, including cyber 11/12 v1 hard, 0/13 v2 end-to-end, and misalignment 3/11 situational-awareness and 1/4 stealth.</t>
  </si>
  <si>
    <t>Strict fails because no predefined coverage percentage is reported. Generous passes because the card reports safety-evaluation types and explicit Frontier Safety challenge-set counts, including 11/12 and 0/13 cyber tasks and 3/11 and 1/4 misalignment evaluations.</t>
  </si>
  <si>
    <t>Ethics &amp; Safety Reviews are stated, but no module denominator or percentage of modules assessed is reported.</t>
  </si>
  <si>
    <t>José Luis Hernandez, WhiteBox Project</t>
  </si>
  <si>
    <t>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</si>
</sst>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8" x14ac:knownFonts="1">
    <font>
      <sz val="11"/>
      <color theme="1"/>
      <name val="Calibri"/>
    </font>
    <font>
      <sz val="10"/>
      <name val="Arial"/>
    </font>
    <font>
      <b/>
      <sz val="11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i/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7" fillId="0" borderId="1" xfId="0" applyFont="1" applyBorder="1"/>
    <xf numFmtId="0" fontId="7" fillId="0" borderId="0" xfId="0" applyFont="1"/>
    <xf numFmtId="0" fontId="3" fillId="0" borderId="0" xfId="0" applyFont="1"/>
    <xf numFmtId="0" fontId="6" fillId="0" borderId="0" xfId="0" applyFont="1"/>
    <xf numFmtId="14" fontId="0" fillId="0" borderId="0" xfId="0" applyNumberFormat="1"/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B22" sqref="B22"/>
    </sheetView>
  </sheetViews>
  <sheetFormatPr defaultColWidth="8.7109375" defaultRowHeight="15" x14ac:dyDescent="0.25"/>
  <cols>
    <col min="1" max="1" width="110" customWidth="1"/>
    <col min="2" max="2" width="10.7109375" bestFit="1" customWidth="1"/>
    <col min="3" max="3" width="4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1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ht="25.5" x14ac:dyDescent="0.25">
      <c r="A8" s="2" t="s">
        <v>6</v>
      </c>
    </row>
    <row r="9" spans="1:1" ht="25.5" x14ac:dyDescent="0.25">
      <c r="A9" s="2" t="s">
        <v>7</v>
      </c>
    </row>
    <row r="10" spans="1:1" ht="25.5" x14ac:dyDescent="0.25">
      <c r="A10" s="2" t="s">
        <v>8</v>
      </c>
    </row>
    <row r="11" spans="1:1" ht="25.5" x14ac:dyDescent="0.25">
      <c r="A11" s="2" t="s">
        <v>9</v>
      </c>
    </row>
    <row r="12" spans="1:1" x14ac:dyDescent="0.25">
      <c r="A12" s="2"/>
    </row>
    <row r="13" spans="1:1" x14ac:dyDescent="0.25">
      <c r="A13" s="1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1" t="s">
        <v>12</v>
      </c>
    </row>
    <row r="17" spans="1:3" x14ac:dyDescent="0.25">
      <c r="A17" s="2" t="s">
        <v>13</v>
      </c>
      <c r="B17" t="s">
        <v>221</v>
      </c>
      <c r="C17" s="3"/>
    </row>
    <row r="18" spans="1:3" x14ac:dyDescent="0.25">
      <c r="A18" s="2" t="s">
        <v>14</v>
      </c>
      <c r="B18" t="s">
        <v>148</v>
      </c>
      <c r="C18" s="3"/>
    </row>
    <row r="19" spans="1:3" x14ac:dyDescent="0.25">
      <c r="A19" s="2" t="s">
        <v>15</v>
      </c>
      <c r="B19" t="s">
        <v>149</v>
      </c>
      <c r="C19" s="3"/>
    </row>
    <row r="20" spans="1:3" x14ac:dyDescent="0.25">
      <c r="A20" s="2" t="s">
        <v>16</v>
      </c>
      <c r="B20" t="s">
        <v>222</v>
      </c>
      <c r="C20" s="3"/>
    </row>
    <row r="21" spans="1:3" x14ac:dyDescent="0.25">
      <c r="A21" s="2" t="s">
        <v>17</v>
      </c>
      <c r="B21" s="12">
        <v>46200</v>
      </c>
      <c r="C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tabSelected="1" workbookViewId="0">
      <selection activeCell="P1" sqref="P1:R1048576"/>
    </sheetView>
  </sheetViews>
  <sheetFormatPr defaultColWidth="8.7109375" defaultRowHeight="15" x14ac:dyDescent="0.25"/>
  <cols>
    <col min="1" max="1" width="7" customWidth="1"/>
    <col min="2" max="2" width="9" customWidth="1"/>
    <col min="3" max="3" width="11" customWidth="1"/>
    <col min="4" max="4" width="26" customWidth="1"/>
    <col min="5" max="5" width="22" customWidth="1"/>
    <col min="6" max="6" width="26" customWidth="1"/>
    <col min="7" max="10" width="20" customWidth="1"/>
    <col min="11" max="13" width="44" customWidth="1"/>
    <col min="14" max="14" width="52" customWidth="1"/>
    <col min="15" max="15" width="24" customWidth="1"/>
  </cols>
  <sheetData>
    <row r="1" spans="1:15" ht="25.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spans="1:15" ht="36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/>
      <c r="I2" s="5"/>
      <c r="J2" s="5" t="s">
        <v>40</v>
      </c>
      <c r="K2" s="5" t="s">
        <v>41</v>
      </c>
      <c r="L2" s="5" t="s">
        <v>42</v>
      </c>
      <c r="M2" s="5" t="s">
        <v>43</v>
      </c>
      <c r="N2" s="5" t="s">
        <v>44</v>
      </c>
      <c r="O2" s="5"/>
    </row>
    <row r="3" spans="1:15" ht="38.25" x14ac:dyDescent="0.25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7" t="s">
        <v>39</v>
      </c>
      <c r="H3" s="7"/>
      <c r="I3" s="7"/>
      <c r="J3" s="7" t="s">
        <v>39</v>
      </c>
      <c r="K3" s="7"/>
      <c r="L3" s="7"/>
      <c r="M3" s="7"/>
      <c r="N3" s="7" t="s">
        <v>150</v>
      </c>
      <c r="O3" s="8" t="str">
        <f t="shared" ref="O3:O34" si="0">IF(OR(G3="",J3=""),"MISSING JUDGMENT",IF(AND(G3="COMPUTABLE",J3="NOT_COMPUTABLE"),"INVALID: strict&gt;generous",IF(AND(G3="COMPUTABLE",OR(H3="",I3="")),"STRICT NEEDS EVIDENCE",IF(AND(J3="COMPUTABLE",OR(L3="",M3="")),"GENEROUS NEEDS EVIDENCE",IF(AND(J3="COMPUTABLE",G3="NOT_COMPUTABLE",K3=""),"PROXY FIELD NEEDED","OK")))))</f>
        <v>OK</v>
      </c>
    </row>
    <row r="4" spans="1:15" ht="38.25" x14ac:dyDescent="0.25">
      <c r="A4" s="6" t="s">
        <v>51</v>
      </c>
      <c r="B4" s="6" t="s">
        <v>46</v>
      </c>
      <c r="C4" s="6" t="s">
        <v>47</v>
      </c>
      <c r="D4" s="6" t="s">
        <v>48</v>
      </c>
      <c r="E4" s="6" t="s">
        <v>37</v>
      </c>
      <c r="F4" s="6" t="s">
        <v>38</v>
      </c>
      <c r="G4" s="7" t="s">
        <v>39</v>
      </c>
      <c r="H4" s="7"/>
      <c r="I4" s="7"/>
      <c r="J4" s="7" t="s">
        <v>39</v>
      </c>
      <c r="K4" s="7"/>
      <c r="L4" s="7"/>
      <c r="M4" s="7"/>
      <c r="N4" s="7" t="s">
        <v>151</v>
      </c>
      <c r="O4" s="8" t="str">
        <f t="shared" si="0"/>
        <v>OK</v>
      </c>
    </row>
    <row r="5" spans="1:15" ht="38.25" x14ac:dyDescent="0.25">
      <c r="A5" s="6" t="s">
        <v>52</v>
      </c>
      <c r="B5" s="6" t="s">
        <v>46</v>
      </c>
      <c r="C5" s="6" t="s">
        <v>47</v>
      </c>
      <c r="D5" s="6" t="s">
        <v>48</v>
      </c>
      <c r="E5" s="6" t="s">
        <v>53</v>
      </c>
      <c r="F5" s="6" t="s">
        <v>54</v>
      </c>
      <c r="G5" s="7" t="s">
        <v>39</v>
      </c>
      <c r="H5" s="7"/>
      <c r="I5" s="7"/>
      <c r="J5" s="7" t="s">
        <v>39</v>
      </c>
      <c r="K5" s="7"/>
      <c r="L5" s="7"/>
      <c r="M5" s="7"/>
      <c r="N5" s="7" t="s">
        <v>152</v>
      </c>
      <c r="O5" s="8" t="str">
        <f t="shared" si="0"/>
        <v>OK</v>
      </c>
    </row>
    <row r="6" spans="1:15" ht="38.25" x14ac:dyDescent="0.25">
      <c r="A6" s="6" t="s">
        <v>55</v>
      </c>
      <c r="B6" s="6" t="s">
        <v>46</v>
      </c>
      <c r="C6" s="6" t="s">
        <v>47</v>
      </c>
      <c r="D6" s="6" t="s">
        <v>48</v>
      </c>
      <c r="E6" s="6" t="s">
        <v>56</v>
      </c>
      <c r="F6" s="6" t="s">
        <v>57</v>
      </c>
      <c r="G6" s="7" t="s">
        <v>39</v>
      </c>
      <c r="H6" s="7"/>
      <c r="I6" s="7"/>
      <c r="J6" s="7" t="s">
        <v>39</v>
      </c>
      <c r="K6" s="7"/>
      <c r="L6" s="7"/>
      <c r="M6" s="7"/>
      <c r="N6" s="7" t="s">
        <v>153</v>
      </c>
      <c r="O6" s="8" t="str">
        <f t="shared" si="0"/>
        <v>OK</v>
      </c>
    </row>
    <row r="7" spans="1:15" ht="38.25" x14ac:dyDescent="0.25">
      <c r="A7" s="6" t="s">
        <v>58</v>
      </c>
      <c r="B7" s="6" t="s">
        <v>46</v>
      </c>
      <c r="C7" s="6" t="s">
        <v>47</v>
      </c>
      <c r="D7" s="6" t="s">
        <v>48</v>
      </c>
      <c r="E7" s="6" t="s">
        <v>59</v>
      </c>
      <c r="F7" s="6" t="s">
        <v>60</v>
      </c>
      <c r="G7" s="7" t="s">
        <v>39</v>
      </c>
      <c r="H7" s="7"/>
      <c r="I7" s="7"/>
      <c r="J7" s="7" t="s">
        <v>39</v>
      </c>
      <c r="K7" s="7"/>
      <c r="L7" s="7"/>
      <c r="M7" s="7"/>
      <c r="N7" s="7" t="s">
        <v>154</v>
      </c>
      <c r="O7" s="8" t="str">
        <f t="shared" si="0"/>
        <v>OK</v>
      </c>
    </row>
    <row r="8" spans="1:15" ht="38.25" x14ac:dyDescent="0.25">
      <c r="A8" s="6" t="s">
        <v>61</v>
      </c>
      <c r="B8" s="6" t="s">
        <v>46</v>
      </c>
      <c r="C8" s="6" t="s">
        <v>47</v>
      </c>
      <c r="D8" s="6" t="s">
        <v>48</v>
      </c>
      <c r="E8" s="6" t="s">
        <v>62</v>
      </c>
      <c r="F8" s="6" t="s">
        <v>63</v>
      </c>
      <c r="G8" s="7" t="s">
        <v>39</v>
      </c>
      <c r="H8" s="7"/>
      <c r="I8" s="7"/>
      <c r="J8" s="7" t="s">
        <v>39</v>
      </c>
      <c r="K8" s="7"/>
      <c r="L8" s="7"/>
      <c r="M8" s="7"/>
      <c r="N8" s="7" t="s">
        <v>155</v>
      </c>
      <c r="O8" s="8" t="str">
        <f t="shared" si="0"/>
        <v>OK</v>
      </c>
    </row>
    <row r="9" spans="1:15" ht="38.25" x14ac:dyDescent="0.25">
      <c r="A9" s="6" t="s">
        <v>64</v>
      </c>
      <c r="B9" s="6" t="s">
        <v>46</v>
      </c>
      <c r="C9" s="6" t="s">
        <v>47</v>
      </c>
      <c r="D9" s="6" t="s">
        <v>48</v>
      </c>
      <c r="E9" s="6" t="s">
        <v>65</v>
      </c>
      <c r="F9" s="6" t="s">
        <v>66</v>
      </c>
      <c r="G9" s="7" t="s">
        <v>39</v>
      </c>
      <c r="H9" s="7"/>
      <c r="I9" s="7"/>
      <c r="J9" s="7" t="s">
        <v>39</v>
      </c>
      <c r="K9" s="7"/>
      <c r="L9" s="7"/>
      <c r="M9" s="7"/>
      <c r="N9" s="7" t="s">
        <v>156</v>
      </c>
      <c r="O9" s="8" t="str">
        <f t="shared" si="0"/>
        <v>OK</v>
      </c>
    </row>
    <row r="10" spans="1:15" ht="38.25" x14ac:dyDescent="0.25">
      <c r="A10" s="6" t="s">
        <v>67</v>
      </c>
      <c r="B10" s="6" t="s">
        <v>46</v>
      </c>
      <c r="C10" s="6" t="s">
        <v>47</v>
      </c>
      <c r="D10" s="6" t="s">
        <v>48</v>
      </c>
      <c r="E10" s="6" t="s">
        <v>68</v>
      </c>
      <c r="F10" s="6" t="s">
        <v>69</v>
      </c>
      <c r="G10" s="7" t="s">
        <v>39</v>
      </c>
      <c r="H10" s="7"/>
      <c r="I10" s="7"/>
      <c r="J10" s="7" t="s">
        <v>39</v>
      </c>
      <c r="K10" s="7"/>
      <c r="L10" s="7"/>
      <c r="M10" s="7"/>
      <c r="N10" s="7" t="s">
        <v>157</v>
      </c>
      <c r="O10" s="8" t="str">
        <f t="shared" si="0"/>
        <v>OK</v>
      </c>
    </row>
    <row r="11" spans="1:15" ht="63.75" x14ac:dyDescent="0.25">
      <c r="A11" s="6" t="s">
        <v>70</v>
      </c>
      <c r="B11" s="6" t="s">
        <v>46</v>
      </c>
      <c r="C11" s="6" t="s">
        <v>47</v>
      </c>
      <c r="D11" s="6" t="s">
        <v>48</v>
      </c>
      <c r="E11" s="6" t="s">
        <v>71</v>
      </c>
      <c r="F11" s="6" t="s">
        <v>72</v>
      </c>
      <c r="G11" s="7" t="s">
        <v>39</v>
      </c>
      <c r="H11" s="7"/>
      <c r="I11" s="7"/>
      <c r="J11" s="7" t="s">
        <v>40</v>
      </c>
      <c r="K11" s="7" t="s">
        <v>158</v>
      </c>
      <c r="L11" s="7" t="s">
        <v>159</v>
      </c>
      <c r="M11" s="7" t="s">
        <v>160</v>
      </c>
      <c r="N11" s="7" t="s">
        <v>161</v>
      </c>
      <c r="O11" s="8" t="str">
        <f t="shared" si="0"/>
        <v>OK</v>
      </c>
    </row>
    <row r="12" spans="1:15" ht="38.25" x14ac:dyDescent="0.25">
      <c r="A12" s="6" t="s">
        <v>73</v>
      </c>
      <c r="B12" s="6" t="s">
        <v>46</v>
      </c>
      <c r="C12" s="6" t="s">
        <v>47</v>
      </c>
      <c r="D12" s="6" t="s">
        <v>48</v>
      </c>
      <c r="E12" s="6" t="s">
        <v>74</v>
      </c>
      <c r="F12" s="6" t="s">
        <v>75</v>
      </c>
      <c r="G12" s="7" t="s">
        <v>39</v>
      </c>
      <c r="H12" s="7"/>
      <c r="I12" s="7"/>
      <c r="J12" s="7" t="s">
        <v>39</v>
      </c>
      <c r="K12" s="7"/>
      <c r="L12" s="7"/>
      <c r="M12" s="7"/>
      <c r="N12" s="7" t="s">
        <v>162</v>
      </c>
      <c r="O12" s="8" t="str">
        <f t="shared" si="0"/>
        <v>OK</v>
      </c>
    </row>
    <row r="13" spans="1:15" ht="25.5" x14ac:dyDescent="0.25">
      <c r="A13" s="6" t="s">
        <v>76</v>
      </c>
      <c r="B13" s="6" t="s">
        <v>46</v>
      </c>
      <c r="C13" s="6" t="s">
        <v>77</v>
      </c>
      <c r="D13" s="6" t="s">
        <v>78</v>
      </c>
      <c r="E13" s="6" t="s">
        <v>49</v>
      </c>
      <c r="F13" s="6" t="s">
        <v>50</v>
      </c>
      <c r="G13" s="7" t="s">
        <v>39</v>
      </c>
      <c r="H13" s="7"/>
      <c r="I13" s="7"/>
      <c r="J13" s="7" t="s">
        <v>39</v>
      </c>
      <c r="K13" s="7"/>
      <c r="L13" s="7"/>
      <c r="M13" s="7"/>
      <c r="N13" s="7" t="s">
        <v>163</v>
      </c>
      <c r="O13" s="8" t="str">
        <f t="shared" si="0"/>
        <v>OK</v>
      </c>
    </row>
    <row r="14" spans="1:15" ht="38.25" x14ac:dyDescent="0.25">
      <c r="A14" s="6" t="s">
        <v>79</v>
      </c>
      <c r="B14" s="6" t="s">
        <v>46</v>
      </c>
      <c r="C14" s="6" t="s">
        <v>77</v>
      </c>
      <c r="D14" s="6" t="s">
        <v>78</v>
      </c>
      <c r="E14" s="6" t="s">
        <v>37</v>
      </c>
      <c r="F14" s="6" t="s">
        <v>38</v>
      </c>
      <c r="G14" s="7" t="s">
        <v>39</v>
      </c>
      <c r="H14" s="7"/>
      <c r="I14" s="7"/>
      <c r="J14" s="7" t="s">
        <v>39</v>
      </c>
      <c r="K14" s="7"/>
      <c r="L14" s="7"/>
      <c r="M14" s="7"/>
      <c r="N14" s="7" t="s">
        <v>164</v>
      </c>
      <c r="O14" s="8" t="str">
        <f t="shared" si="0"/>
        <v>OK</v>
      </c>
    </row>
    <row r="15" spans="1:15" ht="25.5" x14ac:dyDescent="0.25">
      <c r="A15" s="6" t="s">
        <v>80</v>
      </c>
      <c r="B15" s="6" t="s">
        <v>46</v>
      </c>
      <c r="C15" s="6" t="s">
        <v>77</v>
      </c>
      <c r="D15" s="6" t="s">
        <v>78</v>
      </c>
      <c r="E15" s="6" t="s">
        <v>53</v>
      </c>
      <c r="F15" s="6" t="s">
        <v>54</v>
      </c>
      <c r="G15" s="7" t="s">
        <v>39</v>
      </c>
      <c r="H15" s="7"/>
      <c r="I15" s="7"/>
      <c r="J15" s="7" t="s">
        <v>39</v>
      </c>
      <c r="K15" s="7"/>
      <c r="L15" s="7"/>
      <c r="M15" s="7"/>
      <c r="N15" s="7" t="s">
        <v>165</v>
      </c>
      <c r="O15" s="8" t="str">
        <f t="shared" si="0"/>
        <v>OK</v>
      </c>
    </row>
    <row r="16" spans="1:15" ht="38.25" x14ac:dyDescent="0.25">
      <c r="A16" s="6" t="s">
        <v>81</v>
      </c>
      <c r="B16" s="6" t="s">
        <v>46</v>
      </c>
      <c r="C16" s="6" t="s">
        <v>77</v>
      </c>
      <c r="D16" s="6" t="s">
        <v>78</v>
      </c>
      <c r="E16" s="6" t="s">
        <v>56</v>
      </c>
      <c r="F16" s="6" t="s">
        <v>57</v>
      </c>
      <c r="G16" s="7" t="s">
        <v>39</v>
      </c>
      <c r="H16" s="7"/>
      <c r="I16" s="7"/>
      <c r="J16" s="7" t="s">
        <v>39</v>
      </c>
      <c r="K16" s="7"/>
      <c r="L16" s="7"/>
      <c r="M16" s="7"/>
      <c r="N16" s="7" t="s">
        <v>166</v>
      </c>
      <c r="O16" s="8" t="str">
        <f t="shared" si="0"/>
        <v>OK</v>
      </c>
    </row>
    <row r="17" spans="1:15" ht="25.5" x14ac:dyDescent="0.25">
      <c r="A17" s="6" t="s">
        <v>82</v>
      </c>
      <c r="B17" s="6" t="s">
        <v>46</v>
      </c>
      <c r="C17" s="6" t="s">
        <v>77</v>
      </c>
      <c r="D17" s="6" t="s">
        <v>78</v>
      </c>
      <c r="E17" s="6" t="s">
        <v>59</v>
      </c>
      <c r="F17" s="6" t="s">
        <v>60</v>
      </c>
      <c r="G17" s="7" t="s">
        <v>39</v>
      </c>
      <c r="H17" s="7"/>
      <c r="I17" s="7"/>
      <c r="J17" s="7" t="s">
        <v>39</v>
      </c>
      <c r="K17" s="7"/>
      <c r="L17" s="7"/>
      <c r="M17" s="7"/>
      <c r="N17" s="7" t="s">
        <v>167</v>
      </c>
      <c r="O17" s="8" t="str">
        <f t="shared" si="0"/>
        <v>OK</v>
      </c>
    </row>
    <row r="18" spans="1:15" ht="25.5" x14ac:dyDescent="0.25">
      <c r="A18" s="6" t="s">
        <v>83</v>
      </c>
      <c r="B18" s="6" t="s">
        <v>46</v>
      </c>
      <c r="C18" s="6" t="s">
        <v>77</v>
      </c>
      <c r="D18" s="6" t="s">
        <v>78</v>
      </c>
      <c r="E18" s="6" t="s">
        <v>62</v>
      </c>
      <c r="F18" s="6" t="s">
        <v>63</v>
      </c>
      <c r="G18" s="7" t="s">
        <v>39</v>
      </c>
      <c r="H18" s="7"/>
      <c r="I18" s="7"/>
      <c r="J18" s="7" t="s">
        <v>39</v>
      </c>
      <c r="K18" s="7"/>
      <c r="L18" s="7"/>
      <c r="M18" s="7"/>
      <c r="N18" s="7" t="s">
        <v>168</v>
      </c>
      <c r="O18" s="8" t="str">
        <f t="shared" si="0"/>
        <v>OK</v>
      </c>
    </row>
    <row r="19" spans="1:15" ht="38.25" x14ac:dyDescent="0.25">
      <c r="A19" s="6" t="s">
        <v>84</v>
      </c>
      <c r="B19" s="6" t="s">
        <v>46</v>
      </c>
      <c r="C19" s="6" t="s">
        <v>77</v>
      </c>
      <c r="D19" s="6" t="s">
        <v>78</v>
      </c>
      <c r="E19" s="6" t="s">
        <v>65</v>
      </c>
      <c r="F19" s="6" t="s">
        <v>66</v>
      </c>
      <c r="G19" s="7" t="s">
        <v>39</v>
      </c>
      <c r="H19" s="7"/>
      <c r="I19" s="7"/>
      <c r="J19" s="7" t="s">
        <v>39</v>
      </c>
      <c r="K19" s="7"/>
      <c r="L19" s="7"/>
      <c r="M19" s="7"/>
      <c r="N19" s="7" t="s">
        <v>169</v>
      </c>
      <c r="O19" s="8" t="str">
        <f t="shared" si="0"/>
        <v>OK</v>
      </c>
    </row>
    <row r="20" spans="1:15" ht="38.25" x14ac:dyDescent="0.25">
      <c r="A20" s="6" t="s">
        <v>85</v>
      </c>
      <c r="B20" s="6" t="s">
        <v>46</v>
      </c>
      <c r="C20" s="6" t="s">
        <v>77</v>
      </c>
      <c r="D20" s="6" t="s">
        <v>78</v>
      </c>
      <c r="E20" s="6" t="s">
        <v>68</v>
      </c>
      <c r="F20" s="6" t="s">
        <v>69</v>
      </c>
      <c r="G20" s="7" t="s">
        <v>39</v>
      </c>
      <c r="H20" s="7"/>
      <c r="I20" s="7"/>
      <c r="J20" s="7" t="s">
        <v>39</v>
      </c>
      <c r="K20" s="7"/>
      <c r="L20" s="7"/>
      <c r="M20" s="7"/>
      <c r="N20" s="7" t="s">
        <v>170</v>
      </c>
      <c r="O20" s="8" t="str">
        <f t="shared" si="0"/>
        <v>OK</v>
      </c>
    </row>
    <row r="21" spans="1:15" ht="51" x14ac:dyDescent="0.25">
      <c r="A21" s="6" t="s">
        <v>86</v>
      </c>
      <c r="B21" s="6" t="s">
        <v>46</v>
      </c>
      <c r="C21" s="6" t="s">
        <v>77</v>
      </c>
      <c r="D21" s="6" t="s">
        <v>78</v>
      </c>
      <c r="E21" s="6" t="s">
        <v>71</v>
      </c>
      <c r="F21" s="6" t="s">
        <v>72</v>
      </c>
      <c r="G21" s="7" t="s">
        <v>39</v>
      </c>
      <c r="H21" s="7"/>
      <c r="I21" s="7"/>
      <c r="J21" s="7" t="s">
        <v>39</v>
      </c>
      <c r="K21" s="7"/>
      <c r="L21" s="7"/>
      <c r="M21" s="7"/>
      <c r="N21" s="7" t="s">
        <v>171</v>
      </c>
      <c r="O21" s="8" t="str">
        <f t="shared" si="0"/>
        <v>OK</v>
      </c>
    </row>
    <row r="22" spans="1:15" ht="38.25" x14ac:dyDescent="0.25">
      <c r="A22" s="6" t="s">
        <v>87</v>
      </c>
      <c r="B22" s="6" t="s">
        <v>46</v>
      </c>
      <c r="C22" s="6" t="s">
        <v>77</v>
      </c>
      <c r="D22" s="6" t="s">
        <v>78</v>
      </c>
      <c r="E22" s="6" t="s">
        <v>74</v>
      </c>
      <c r="F22" s="6" t="s">
        <v>75</v>
      </c>
      <c r="G22" s="7" t="s">
        <v>39</v>
      </c>
      <c r="H22" s="7"/>
      <c r="I22" s="7"/>
      <c r="J22" s="7" t="s">
        <v>39</v>
      </c>
      <c r="K22" s="7"/>
      <c r="L22" s="7"/>
      <c r="M22" s="7"/>
      <c r="N22" s="7" t="s">
        <v>172</v>
      </c>
      <c r="O22" s="8" t="str">
        <f t="shared" si="0"/>
        <v>OK</v>
      </c>
    </row>
    <row r="23" spans="1:15" ht="25.5" x14ac:dyDescent="0.25">
      <c r="A23" s="6" t="s">
        <v>88</v>
      </c>
      <c r="B23" s="6" t="s">
        <v>46</v>
      </c>
      <c r="C23" s="6" t="s">
        <v>89</v>
      </c>
      <c r="D23" s="6" t="s">
        <v>90</v>
      </c>
      <c r="E23" s="6" t="s">
        <v>49</v>
      </c>
      <c r="F23" s="6" t="s">
        <v>50</v>
      </c>
      <c r="G23" s="7" t="s">
        <v>39</v>
      </c>
      <c r="H23" s="7"/>
      <c r="I23" s="7"/>
      <c r="J23" s="7" t="s">
        <v>39</v>
      </c>
      <c r="K23" s="7"/>
      <c r="L23" s="7"/>
      <c r="M23" s="7"/>
      <c r="N23" s="7" t="s">
        <v>173</v>
      </c>
      <c r="O23" s="8" t="str">
        <f t="shared" si="0"/>
        <v>OK</v>
      </c>
    </row>
    <row r="24" spans="1:15" ht="38.25" x14ac:dyDescent="0.25">
      <c r="A24" s="6" t="s">
        <v>91</v>
      </c>
      <c r="B24" s="6" t="s">
        <v>46</v>
      </c>
      <c r="C24" s="6" t="s">
        <v>89</v>
      </c>
      <c r="D24" s="6" t="s">
        <v>90</v>
      </c>
      <c r="E24" s="6" t="s">
        <v>37</v>
      </c>
      <c r="F24" s="6" t="s">
        <v>38</v>
      </c>
      <c r="G24" s="7" t="s">
        <v>39</v>
      </c>
      <c r="H24" s="7"/>
      <c r="I24" s="7"/>
      <c r="J24" s="7" t="s">
        <v>39</v>
      </c>
      <c r="K24" s="7"/>
      <c r="L24" s="7"/>
      <c r="M24" s="7"/>
      <c r="N24" s="7" t="s">
        <v>174</v>
      </c>
      <c r="O24" s="8" t="str">
        <f t="shared" si="0"/>
        <v>OK</v>
      </c>
    </row>
    <row r="25" spans="1:15" ht="25.5" x14ac:dyDescent="0.25">
      <c r="A25" s="6" t="s">
        <v>92</v>
      </c>
      <c r="B25" s="6" t="s">
        <v>46</v>
      </c>
      <c r="C25" s="6" t="s">
        <v>89</v>
      </c>
      <c r="D25" s="6" t="s">
        <v>90</v>
      </c>
      <c r="E25" s="6" t="s">
        <v>53</v>
      </c>
      <c r="F25" s="6" t="s">
        <v>54</v>
      </c>
      <c r="G25" s="7" t="s">
        <v>39</v>
      </c>
      <c r="H25" s="7"/>
      <c r="I25" s="7"/>
      <c r="J25" s="7" t="s">
        <v>39</v>
      </c>
      <c r="K25" s="7"/>
      <c r="L25" s="7"/>
      <c r="M25" s="7"/>
      <c r="N25" s="7" t="s">
        <v>175</v>
      </c>
      <c r="O25" s="8" t="str">
        <f t="shared" si="0"/>
        <v>OK</v>
      </c>
    </row>
    <row r="26" spans="1:15" ht="38.25" x14ac:dyDescent="0.25">
      <c r="A26" s="6" t="s">
        <v>93</v>
      </c>
      <c r="B26" s="6" t="s">
        <v>46</v>
      </c>
      <c r="C26" s="6" t="s">
        <v>89</v>
      </c>
      <c r="D26" s="6" t="s">
        <v>90</v>
      </c>
      <c r="E26" s="6" t="s">
        <v>56</v>
      </c>
      <c r="F26" s="6" t="s">
        <v>57</v>
      </c>
      <c r="G26" s="7" t="s">
        <v>39</v>
      </c>
      <c r="H26" s="7"/>
      <c r="I26" s="7"/>
      <c r="J26" s="7" t="s">
        <v>39</v>
      </c>
      <c r="K26" s="7"/>
      <c r="L26" s="7"/>
      <c r="M26" s="7"/>
      <c r="N26" s="7" t="s">
        <v>176</v>
      </c>
      <c r="O26" s="8" t="str">
        <f t="shared" si="0"/>
        <v>OK</v>
      </c>
    </row>
    <row r="27" spans="1:15" ht="25.5" x14ac:dyDescent="0.25">
      <c r="A27" s="6" t="s">
        <v>94</v>
      </c>
      <c r="B27" s="6" t="s">
        <v>46</v>
      </c>
      <c r="C27" s="6" t="s">
        <v>89</v>
      </c>
      <c r="D27" s="6" t="s">
        <v>90</v>
      </c>
      <c r="E27" s="6" t="s">
        <v>59</v>
      </c>
      <c r="F27" s="6" t="s">
        <v>60</v>
      </c>
      <c r="G27" s="7" t="s">
        <v>39</v>
      </c>
      <c r="H27" s="7"/>
      <c r="I27" s="7"/>
      <c r="J27" s="7" t="s">
        <v>39</v>
      </c>
      <c r="K27" s="7"/>
      <c r="L27" s="7"/>
      <c r="M27" s="7"/>
      <c r="N27" s="7" t="s">
        <v>177</v>
      </c>
      <c r="O27" s="8" t="str">
        <f t="shared" si="0"/>
        <v>OK</v>
      </c>
    </row>
    <row r="28" spans="1:15" ht="38.25" x14ac:dyDescent="0.25">
      <c r="A28" s="6" t="s">
        <v>95</v>
      </c>
      <c r="B28" s="6" t="s">
        <v>46</v>
      </c>
      <c r="C28" s="6" t="s">
        <v>89</v>
      </c>
      <c r="D28" s="6" t="s">
        <v>90</v>
      </c>
      <c r="E28" s="6" t="s">
        <v>62</v>
      </c>
      <c r="F28" s="6" t="s">
        <v>63</v>
      </c>
      <c r="G28" s="7" t="s">
        <v>39</v>
      </c>
      <c r="H28" s="7"/>
      <c r="I28" s="7"/>
      <c r="J28" s="7" t="s">
        <v>39</v>
      </c>
      <c r="K28" s="7"/>
      <c r="L28" s="7"/>
      <c r="M28" s="7"/>
      <c r="N28" s="7" t="s">
        <v>178</v>
      </c>
      <c r="O28" s="8" t="str">
        <f t="shared" si="0"/>
        <v>OK</v>
      </c>
    </row>
    <row r="29" spans="1:15" ht="25.5" x14ac:dyDescent="0.25">
      <c r="A29" s="6" t="s">
        <v>96</v>
      </c>
      <c r="B29" s="6" t="s">
        <v>46</v>
      </c>
      <c r="C29" s="6" t="s">
        <v>89</v>
      </c>
      <c r="D29" s="6" t="s">
        <v>90</v>
      </c>
      <c r="E29" s="6" t="s">
        <v>65</v>
      </c>
      <c r="F29" s="6" t="s">
        <v>66</v>
      </c>
      <c r="G29" s="7" t="s">
        <v>39</v>
      </c>
      <c r="H29" s="7"/>
      <c r="I29" s="7"/>
      <c r="J29" s="7" t="s">
        <v>39</v>
      </c>
      <c r="K29" s="7"/>
      <c r="L29" s="7"/>
      <c r="M29" s="7"/>
      <c r="N29" s="7" t="s">
        <v>179</v>
      </c>
      <c r="O29" s="8" t="str">
        <f t="shared" si="0"/>
        <v>OK</v>
      </c>
    </row>
    <row r="30" spans="1:15" ht="38.25" x14ac:dyDescent="0.25">
      <c r="A30" s="6" t="s">
        <v>97</v>
      </c>
      <c r="B30" s="6" t="s">
        <v>46</v>
      </c>
      <c r="C30" s="6" t="s">
        <v>89</v>
      </c>
      <c r="D30" s="6" t="s">
        <v>90</v>
      </c>
      <c r="E30" s="6" t="s">
        <v>68</v>
      </c>
      <c r="F30" s="6" t="s">
        <v>69</v>
      </c>
      <c r="G30" s="7" t="s">
        <v>39</v>
      </c>
      <c r="H30" s="7"/>
      <c r="I30" s="7"/>
      <c r="J30" s="7" t="s">
        <v>39</v>
      </c>
      <c r="K30" s="7"/>
      <c r="L30" s="7"/>
      <c r="M30" s="7"/>
      <c r="N30" s="7" t="s">
        <v>180</v>
      </c>
      <c r="O30" s="8" t="str">
        <f t="shared" si="0"/>
        <v>OK</v>
      </c>
    </row>
    <row r="31" spans="1:15" ht="51" x14ac:dyDescent="0.25">
      <c r="A31" s="6" t="s">
        <v>98</v>
      </c>
      <c r="B31" s="6" t="s">
        <v>46</v>
      </c>
      <c r="C31" s="6" t="s">
        <v>89</v>
      </c>
      <c r="D31" s="6" t="s">
        <v>90</v>
      </c>
      <c r="E31" s="6" t="s">
        <v>71</v>
      </c>
      <c r="F31" s="6" t="s">
        <v>72</v>
      </c>
      <c r="G31" s="7" t="s">
        <v>39</v>
      </c>
      <c r="H31" s="7"/>
      <c r="I31" s="7"/>
      <c r="J31" s="7" t="s">
        <v>39</v>
      </c>
      <c r="K31" s="7"/>
      <c r="L31" s="7"/>
      <c r="M31" s="7"/>
      <c r="N31" s="7" t="s">
        <v>181</v>
      </c>
      <c r="O31" s="8" t="str">
        <f t="shared" si="0"/>
        <v>OK</v>
      </c>
    </row>
    <row r="32" spans="1:15" ht="38.25" x14ac:dyDescent="0.25">
      <c r="A32" s="6" t="s">
        <v>99</v>
      </c>
      <c r="B32" s="6" t="s">
        <v>46</v>
      </c>
      <c r="C32" s="6" t="s">
        <v>89</v>
      </c>
      <c r="D32" s="6" t="s">
        <v>90</v>
      </c>
      <c r="E32" s="6" t="s">
        <v>74</v>
      </c>
      <c r="F32" s="6" t="s">
        <v>75</v>
      </c>
      <c r="G32" s="7" t="s">
        <v>39</v>
      </c>
      <c r="H32" s="7"/>
      <c r="I32" s="7"/>
      <c r="J32" s="7" t="s">
        <v>39</v>
      </c>
      <c r="K32" s="7"/>
      <c r="L32" s="7"/>
      <c r="M32" s="7"/>
      <c r="N32" s="7" t="s">
        <v>182</v>
      </c>
      <c r="O32" s="8" t="str">
        <f t="shared" si="0"/>
        <v>OK</v>
      </c>
    </row>
    <row r="33" spans="1:15" ht="25.5" x14ac:dyDescent="0.25">
      <c r="A33" s="6" t="s">
        <v>100</v>
      </c>
      <c r="B33" s="6" t="s">
        <v>101</v>
      </c>
      <c r="C33" s="6" t="s">
        <v>47</v>
      </c>
      <c r="D33" s="6" t="s">
        <v>102</v>
      </c>
      <c r="E33" s="6" t="s">
        <v>49</v>
      </c>
      <c r="F33" s="6" t="s">
        <v>50</v>
      </c>
      <c r="G33" s="7" t="s">
        <v>39</v>
      </c>
      <c r="H33" s="7"/>
      <c r="I33" s="7"/>
      <c r="J33" s="7" t="s">
        <v>39</v>
      </c>
      <c r="K33" s="7"/>
      <c r="L33" s="7"/>
      <c r="M33" s="7"/>
      <c r="N33" s="7" t="s">
        <v>183</v>
      </c>
      <c r="O33" s="8" t="str">
        <f t="shared" si="0"/>
        <v>OK</v>
      </c>
    </row>
    <row r="34" spans="1:15" ht="38.25" x14ac:dyDescent="0.25">
      <c r="A34" s="6" t="s">
        <v>103</v>
      </c>
      <c r="B34" s="6" t="s">
        <v>101</v>
      </c>
      <c r="C34" s="6" t="s">
        <v>47</v>
      </c>
      <c r="D34" s="6" t="s">
        <v>102</v>
      </c>
      <c r="E34" s="6" t="s">
        <v>37</v>
      </c>
      <c r="F34" s="6" t="s">
        <v>38</v>
      </c>
      <c r="G34" s="7" t="s">
        <v>39</v>
      </c>
      <c r="H34" s="7"/>
      <c r="I34" s="7"/>
      <c r="J34" s="7" t="s">
        <v>39</v>
      </c>
      <c r="K34" s="7"/>
      <c r="L34" s="7"/>
      <c r="M34" s="7"/>
      <c r="N34" s="7" t="s">
        <v>184</v>
      </c>
      <c r="O34" s="8" t="str">
        <f t="shared" si="0"/>
        <v>OK</v>
      </c>
    </row>
    <row r="35" spans="1:15" ht="25.5" x14ac:dyDescent="0.25">
      <c r="A35" s="6" t="s">
        <v>104</v>
      </c>
      <c r="B35" s="6" t="s">
        <v>101</v>
      </c>
      <c r="C35" s="6" t="s">
        <v>47</v>
      </c>
      <c r="D35" s="6" t="s">
        <v>102</v>
      </c>
      <c r="E35" s="6" t="s">
        <v>53</v>
      </c>
      <c r="F35" s="6" t="s">
        <v>54</v>
      </c>
      <c r="G35" s="7" t="s">
        <v>39</v>
      </c>
      <c r="H35" s="7"/>
      <c r="I35" s="7"/>
      <c r="J35" s="7" t="s">
        <v>39</v>
      </c>
      <c r="K35" s="7"/>
      <c r="L35" s="7"/>
      <c r="M35" s="7"/>
      <c r="N35" s="7" t="s">
        <v>185</v>
      </c>
      <c r="O35" s="8" t="str">
        <f t="shared" ref="O35:O62" si="1">IF(OR(G35="",J35=""),"MISSING JUDGMENT",IF(AND(G35="COMPUTABLE",J35="NOT_COMPUTABLE"),"INVALID: strict&gt;generous",IF(AND(G35="COMPUTABLE",OR(H35="",I35="")),"STRICT NEEDS EVIDENCE",IF(AND(J35="COMPUTABLE",OR(L35="",M35="")),"GENEROUS NEEDS EVIDENCE",IF(AND(J35="COMPUTABLE",G35="NOT_COMPUTABLE",K35=""),"PROXY FIELD NEEDED","OK")))))</f>
        <v>OK</v>
      </c>
    </row>
    <row r="36" spans="1:15" ht="38.25" x14ac:dyDescent="0.25">
      <c r="A36" s="6" t="s">
        <v>105</v>
      </c>
      <c r="B36" s="6" t="s">
        <v>101</v>
      </c>
      <c r="C36" s="6" t="s">
        <v>47</v>
      </c>
      <c r="D36" s="6" t="s">
        <v>102</v>
      </c>
      <c r="E36" s="6" t="s">
        <v>56</v>
      </c>
      <c r="F36" s="6" t="s">
        <v>57</v>
      </c>
      <c r="G36" s="7" t="s">
        <v>39</v>
      </c>
      <c r="H36" s="7"/>
      <c r="I36" s="7"/>
      <c r="J36" s="7" t="s">
        <v>39</v>
      </c>
      <c r="K36" s="7"/>
      <c r="L36" s="7"/>
      <c r="M36" s="7"/>
      <c r="N36" s="7" t="s">
        <v>186</v>
      </c>
      <c r="O36" s="8" t="str">
        <f t="shared" si="1"/>
        <v>OK</v>
      </c>
    </row>
    <row r="37" spans="1:15" ht="38.25" x14ac:dyDescent="0.25">
      <c r="A37" s="6" t="s">
        <v>106</v>
      </c>
      <c r="B37" s="6" t="s">
        <v>101</v>
      </c>
      <c r="C37" s="6" t="s">
        <v>47</v>
      </c>
      <c r="D37" s="6" t="s">
        <v>102</v>
      </c>
      <c r="E37" s="6" t="s">
        <v>59</v>
      </c>
      <c r="F37" s="6" t="s">
        <v>60</v>
      </c>
      <c r="G37" s="7" t="s">
        <v>39</v>
      </c>
      <c r="H37" s="7"/>
      <c r="I37" s="7"/>
      <c r="J37" s="7" t="s">
        <v>39</v>
      </c>
      <c r="K37" s="7"/>
      <c r="L37" s="7"/>
      <c r="M37" s="7"/>
      <c r="N37" s="7" t="s">
        <v>187</v>
      </c>
      <c r="O37" s="8" t="str">
        <f t="shared" si="1"/>
        <v>OK</v>
      </c>
    </row>
    <row r="38" spans="1:15" ht="25.5" x14ac:dyDescent="0.25">
      <c r="A38" s="6" t="s">
        <v>107</v>
      </c>
      <c r="B38" s="6" t="s">
        <v>101</v>
      </c>
      <c r="C38" s="6" t="s">
        <v>47</v>
      </c>
      <c r="D38" s="6" t="s">
        <v>102</v>
      </c>
      <c r="E38" s="6" t="s">
        <v>62</v>
      </c>
      <c r="F38" s="6" t="s">
        <v>63</v>
      </c>
      <c r="G38" s="7" t="s">
        <v>39</v>
      </c>
      <c r="H38" s="7"/>
      <c r="I38" s="7"/>
      <c r="J38" s="7" t="s">
        <v>39</v>
      </c>
      <c r="K38" s="7"/>
      <c r="L38" s="7"/>
      <c r="M38" s="7"/>
      <c r="N38" s="7" t="s">
        <v>188</v>
      </c>
      <c r="O38" s="8" t="str">
        <f t="shared" si="1"/>
        <v>OK</v>
      </c>
    </row>
    <row r="39" spans="1:15" ht="38.25" x14ac:dyDescent="0.25">
      <c r="A39" s="6" t="s">
        <v>108</v>
      </c>
      <c r="B39" s="6" t="s">
        <v>101</v>
      </c>
      <c r="C39" s="6" t="s">
        <v>47</v>
      </c>
      <c r="D39" s="6" t="s">
        <v>102</v>
      </c>
      <c r="E39" s="6" t="s">
        <v>65</v>
      </c>
      <c r="F39" s="6" t="s">
        <v>66</v>
      </c>
      <c r="G39" s="7" t="s">
        <v>39</v>
      </c>
      <c r="H39" s="7"/>
      <c r="I39" s="7"/>
      <c r="J39" s="7" t="s">
        <v>39</v>
      </c>
      <c r="K39" s="7"/>
      <c r="L39" s="7"/>
      <c r="M39" s="7"/>
      <c r="N39" s="7" t="s">
        <v>189</v>
      </c>
      <c r="O39" s="8" t="str">
        <f t="shared" si="1"/>
        <v>OK</v>
      </c>
    </row>
    <row r="40" spans="1:15" ht="38.25" x14ac:dyDescent="0.25">
      <c r="A40" s="6" t="s">
        <v>109</v>
      </c>
      <c r="B40" s="6" t="s">
        <v>101</v>
      </c>
      <c r="C40" s="6" t="s">
        <v>47</v>
      </c>
      <c r="D40" s="6" t="s">
        <v>102</v>
      </c>
      <c r="E40" s="6" t="s">
        <v>68</v>
      </c>
      <c r="F40" s="6" t="s">
        <v>69</v>
      </c>
      <c r="G40" s="7" t="s">
        <v>39</v>
      </c>
      <c r="H40" s="7"/>
      <c r="I40" s="7"/>
      <c r="J40" s="7" t="s">
        <v>39</v>
      </c>
      <c r="K40" s="7"/>
      <c r="L40" s="7"/>
      <c r="M40" s="7"/>
      <c r="N40" s="7" t="s">
        <v>190</v>
      </c>
      <c r="O40" s="8" t="str">
        <f t="shared" si="1"/>
        <v>OK</v>
      </c>
    </row>
    <row r="41" spans="1:15" ht="76.5" x14ac:dyDescent="0.25">
      <c r="A41" s="6" t="s">
        <v>110</v>
      </c>
      <c r="B41" s="6" t="s">
        <v>101</v>
      </c>
      <c r="C41" s="6" t="s">
        <v>47</v>
      </c>
      <c r="D41" s="6" t="s">
        <v>102</v>
      </c>
      <c r="E41" s="6" t="s">
        <v>71</v>
      </c>
      <c r="F41" s="6" t="s">
        <v>72</v>
      </c>
      <c r="G41" s="7" t="s">
        <v>39</v>
      </c>
      <c r="H41" s="7"/>
      <c r="I41" s="7"/>
      <c r="J41" s="7" t="s">
        <v>40</v>
      </c>
      <c r="K41" s="7" t="s">
        <v>191</v>
      </c>
      <c r="L41" s="7" t="s">
        <v>192</v>
      </c>
      <c r="M41" s="7" t="s">
        <v>193</v>
      </c>
      <c r="N41" s="7" t="s">
        <v>194</v>
      </c>
      <c r="O41" s="8" t="str">
        <f t="shared" si="1"/>
        <v>OK</v>
      </c>
    </row>
    <row r="42" spans="1:15" ht="25.5" x14ac:dyDescent="0.25">
      <c r="A42" s="6" t="s">
        <v>111</v>
      </c>
      <c r="B42" s="6" t="s">
        <v>101</v>
      </c>
      <c r="C42" s="6" t="s">
        <v>47</v>
      </c>
      <c r="D42" s="6" t="s">
        <v>102</v>
      </c>
      <c r="E42" s="6" t="s">
        <v>74</v>
      </c>
      <c r="F42" s="6" t="s">
        <v>75</v>
      </c>
      <c r="G42" s="7" t="s">
        <v>39</v>
      </c>
      <c r="H42" s="7"/>
      <c r="I42" s="7"/>
      <c r="J42" s="7" t="s">
        <v>39</v>
      </c>
      <c r="K42" s="7"/>
      <c r="L42" s="7"/>
      <c r="M42" s="7"/>
      <c r="N42" s="7" t="s">
        <v>195</v>
      </c>
      <c r="O42" s="8" t="str">
        <f t="shared" si="1"/>
        <v>OK</v>
      </c>
    </row>
    <row r="43" spans="1:15" ht="38.25" x14ac:dyDescent="0.25">
      <c r="A43" s="6" t="s">
        <v>112</v>
      </c>
      <c r="B43" s="6" t="s">
        <v>101</v>
      </c>
      <c r="C43" s="6" t="s">
        <v>77</v>
      </c>
      <c r="D43" s="6" t="s">
        <v>113</v>
      </c>
      <c r="E43" s="6" t="s">
        <v>49</v>
      </c>
      <c r="F43" s="6" t="s">
        <v>50</v>
      </c>
      <c r="G43" s="7" t="s">
        <v>39</v>
      </c>
      <c r="H43" s="7"/>
      <c r="I43" s="7"/>
      <c r="J43" s="7" t="s">
        <v>39</v>
      </c>
      <c r="K43" s="7"/>
      <c r="L43" s="7"/>
      <c r="M43" s="7"/>
      <c r="N43" s="7" t="s">
        <v>196</v>
      </c>
      <c r="O43" s="8" t="str">
        <f t="shared" si="1"/>
        <v>OK</v>
      </c>
    </row>
    <row r="44" spans="1:15" ht="25.5" x14ac:dyDescent="0.25">
      <c r="A44" s="6" t="s">
        <v>114</v>
      </c>
      <c r="B44" s="6" t="s">
        <v>101</v>
      </c>
      <c r="C44" s="6" t="s">
        <v>77</v>
      </c>
      <c r="D44" s="6" t="s">
        <v>113</v>
      </c>
      <c r="E44" s="6" t="s">
        <v>37</v>
      </c>
      <c r="F44" s="6" t="s">
        <v>38</v>
      </c>
      <c r="G44" s="7" t="s">
        <v>39</v>
      </c>
      <c r="H44" s="7"/>
      <c r="I44" s="7"/>
      <c r="J44" s="7" t="s">
        <v>39</v>
      </c>
      <c r="K44" s="7"/>
      <c r="L44" s="7"/>
      <c r="M44" s="7"/>
      <c r="N44" s="7" t="s">
        <v>197</v>
      </c>
      <c r="O44" s="8" t="str">
        <f t="shared" si="1"/>
        <v>OK</v>
      </c>
    </row>
    <row r="45" spans="1:15" ht="25.5" x14ac:dyDescent="0.25">
      <c r="A45" s="6" t="s">
        <v>115</v>
      </c>
      <c r="B45" s="6" t="s">
        <v>101</v>
      </c>
      <c r="C45" s="6" t="s">
        <v>77</v>
      </c>
      <c r="D45" s="6" t="s">
        <v>113</v>
      </c>
      <c r="E45" s="6" t="s">
        <v>53</v>
      </c>
      <c r="F45" s="6" t="s">
        <v>54</v>
      </c>
      <c r="G45" s="7" t="s">
        <v>39</v>
      </c>
      <c r="H45" s="7"/>
      <c r="I45" s="7"/>
      <c r="J45" s="7" t="s">
        <v>39</v>
      </c>
      <c r="K45" s="7"/>
      <c r="L45" s="7"/>
      <c r="M45" s="7"/>
      <c r="N45" s="7" t="s">
        <v>198</v>
      </c>
      <c r="O45" s="8" t="str">
        <f t="shared" si="1"/>
        <v>OK</v>
      </c>
    </row>
    <row r="46" spans="1:15" ht="25.5" x14ac:dyDescent="0.25">
      <c r="A46" s="6" t="s">
        <v>116</v>
      </c>
      <c r="B46" s="6" t="s">
        <v>101</v>
      </c>
      <c r="C46" s="6" t="s">
        <v>77</v>
      </c>
      <c r="D46" s="6" t="s">
        <v>113</v>
      </c>
      <c r="E46" s="6" t="s">
        <v>56</v>
      </c>
      <c r="F46" s="6" t="s">
        <v>57</v>
      </c>
      <c r="G46" s="7" t="s">
        <v>39</v>
      </c>
      <c r="H46" s="7"/>
      <c r="I46" s="7"/>
      <c r="J46" s="7" t="s">
        <v>39</v>
      </c>
      <c r="K46" s="7"/>
      <c r="L46" s="7"/>
      <c r="M46" s="7"/>
      <c r="N46" s="7" t="s">
        <v>199</v>
      </c>
      <c r="O46" s="8" t="str">
        <f t="shared" si="1"/>
        <v>OK</v>
      </c>
    </row>
    <row r="47" spans="1:15" ht="25.5" x14ac:dyDescent="0.25">
      <c r="A47" s="6" t="s">
        <v>117</v>
      </c>
      <c r="B47" s="6" t="s">
        <v>101</v>
      </c>
      <c r="C47" s="6" t="s">
        <v>77</v>
      </c>
      <c r="D47" s="6" t="s">
        <v>113</v>
      </c>
      <c r="E47" s="6" t="s">
        <v>59</v>
      </c>
      <c r="F47" s="6" t="s">
        <v>60</v>
      </c>
      <c r="G47" s="7" t="s">
        <v>39</v>
      </c>
      <c r="H47" s="7"/>
      <c r="I47" s="7"/>
      <c r="J47" s="7" t="s">
        <v>39</v>
      </c>
      <c r="K47" s="7"/>
      <c r="L47" s="7"/>
      <c r="M47" s="7"/>
      <c r="N47" s="7" t="s">
        <v>200</v>
      </c>
      <c r="O47" s="8" t="str">
        <f t="shared" si="1"/>
        <v>OK</v>
      </c>
    </row>
    <row r="48" spans="1:15" ht="25.5" x14ac:dyDescent="0.25">
      <c r="A48" s="6" t="s">
        <v>118</v>
      </c>
      <c r="B48" s="6" t="s">
        <v>101</v>
      </c>
      <c r="C48" s="6" t="s">
        <v>77</v>
      </c>
      <c r="D48" s="6" t="s">
        <v>113</v>
      </c>
      <c r="E48" s="6" t="s">
        <v>62</v>
      </c>
      <c r="F48" s="6" t="s">
        <v>63</v>
      </c>
      <c r="G48" s="7" t="s">
        <v>39</v>
      </c>
      <c r="H48" s="7"/>
      <c r="I48" s="7"/>
      <c r="J48" s="7" t="s">
        <v>39</v>
      </c>
      <c r="K48" s="7"/>
      <c r="L48" s="7"/>
      <c r="M48" s="7"/>
      <c r="N48" s="7" t="s">
        <v>201</v>
      </c>
      <c r="O48" s="8" t="str">
        <f t="shared" si="1"/>
        <v>OK</v>
      </c>
    </row>
    <row r="49" spans="1:15" ht="25.5" x14ac:dyDescent="0.25">
      <c r="A49" s="6" t="s">
        <v>119</v>
      </c>
      <c r="B49" s="6" t="s">
        <v>101</v>
      </c>
      <c r="C49" s="6" t="s">
        <v>77</v>
      </c>
      <c r="D49" s="6" t="s">
        <v>113</v>
      </c>
      <c r="E49" s="6" t="s">
        <v>65</v>
      </c>
      <c r="F49" s="6" t="s">
        <v>66</v>
      </c>
      <c r="G49" s="7" t="s">
        <v>39</v>
      </c>
      <c r="H49" s="7"/>
      <c r="I49" s="7"/>
      <c r="J49" s="7" t="s">
        <v>39</v>
      </c>
      <c r="K49" s="7"/>
      <c r="L49" s="7"/>
      <c r="M49" s="7"/>
      <c r="N49" s="7" t="s">
        <v>202</v>
      </c>
      <c r="O49" s="8" t="str">
        <f t="shared" si="1"/>
        <v>OK</v>
      </c>
    </row>
    <row r="50" spans="1:15" ht="38.25" x14ac:dyDescent="0.25">
      <c r="A50" s="6" t="s">
        <v>120</v>
      </c>
      <c r="B50" s="6" t="s">
        <v>101</v>
      </c>
      <c r="C50" s="6" t="s">
        <v>77</v>
      </c>
      <c r="D50" s="6" t="s">
        <v>113</v>
      </c>
      <c r="E50" s="6" t="s">
        <v>68</v>
      </c>
      <c r="F50" s="6" t="s">
        <v>69</v>
      </c>
      <c r="G50" s="7" t="s">
        <v>39</v>
      </c>
      <c r="H50" s="7"/>
      <c r="I50" s="7"/>
      <c r="J50" s="7" t="s">
        <v>39</v>
      </c>
      <c r="K50" s="7"/>
      <c r="L50" s="7"/>
      <c r="M50" s="7"/>
      <c r="N50" s="7" t="s">
        <v>203</v>
      </c>
      <c r="O50" s="8" t="str">
        <f t="shared" si="1"/>
        <v>OK</v>
      </c>
    </row>
    <row r="51" spans="1:15" ht="76.5" x14ac:dyDescent="0.25">
      <c r="A51" s="6" t="s">
        <v>121</v>
      </c>
      <c r="B51" s="6" t="s">
        <v>101</v>
      </c>
      <c r="C51" s="6" t="s">
        <v>77</v>
      </c>
      <c r="D51" s="6" t="s">
        <v>113</v>
      </c>
      <c r="E51" s="6" t="s">
        <v>71</v>
      </c>
      <c r="F51" s="6" t="s">
        <v>72</v>
      </c>
      <c r="G51" s="7" t="s">
        <v>39</v>
      </c>
      <c r="H51" s="7"/>
      <c r="I51" s="7"/>
      <c r="J51" s="7" t="s">
        <v>40</v>
      </c>
      <c r="K51" s="7" t="s">
        <v>204</v>
      </c>
      <c r="L51" s="7" t="s">
        <v>205</v>
      </c>
      <c r="M51" s="7" t="s">
        <v>206</v>
      </c>
      <c r="N51" s="7" t="s">
        <v>207</v>
      </c>
      <c r="O51" s="8" t="str">
        <f t="shared" si="1"/>
        <v>OK</v>
      </c>
    </row>
    <row r="52" spans="1:15" ht="25.5" x14ac:dyDescent="0.25">
      <c r="A52" s="6" t="s">
        <v>122</v>
      </c>
      <c r="B52" s="6" t="s">
        <v>101</v>
      </c>
      <c r="C52" s="6" t="s">
        <v>77</v>
      </c>
      <c r="D52" s="6" t="s">
        <v>113</v>
      </c>
      <c r="E52" s="6" t="s">
        <v>74</v>
      </c>
      <c r="F52" s="6" t="s">
        <v>75</v>
      </c>
      <c r="G52" s="7" t="s">
        <v>39</v>
      </c>
      <c r="H52" s="7"/>
      <c r="I52" s="7"/>
      <c r="J52" s="7" t="s">
        <v>39</v>
      </c>
      <c r="K52" s="7"/>
      <c r="L52" s="7"/>
      <c r="M52" s="7"/>
      <c r="N52" s="7" t="s">
        <v>208</v>
      </c>
      <c r="O52" s="8" t="str">
        <f t="shared" si="1"/>
        <v>OK</v>
      </c>
    </row>
    <row r="53" spans="1:15" ht="25.5" x14ac:dyDescent="0.25">
      <c r="A53" s="6" t="s">
        <v>123</v>
      </c>
      <c r="B53" s="6" t="s">
        <v>101</v>
      </c>
      <c r="C53" s="6" t="s">
        <v>124</v>
      </c>
      <c r="D53" s="6" t="s">
        <v>125</v>
      </c>
      <c r="E53" s="6" t="s">
        <v>49</v>
      </c>
      <c r="F53" s="6" t="s">
        <v>50</v>
      </c>
      <c r="G53" s="7" t="s">
        <v>39</v>
      </c>
      <c r="H53" s="7"/>
      <c r="I53" s="7"/>
      <c r="J53" s="7" t="s">
        <v>39</v>
      </c>
      <c r="K53" s="7"/>
      <c r="L53" s="7"/>
      <c r="M53" s="7"/>
      <c r="N53" s="7" t="s">
        <v>209</v>
      </c>
      <c r="O53" s="8" t="str">
        <f t="shared" si="1"/>
        <v>OK</v>
      </c>
    </row>
    <row r="54" spans="1:15" ht="25.5" x14ac:dyDescent="0.25">
      <c r="A54" s="6" t="s">
        <v>126</v>
      </c>
      <c r="B54" s="6" t="s">
        <v>101</v>
      </c>
      <c r="C54" s="6" t="s">
        <v>124</v>
      </c>
      <c r="D54" s="6" t="s">
        <v>125</v>
      </c>
      <c r="E54" s="6" t="s">
        <v>37</v>
      </c>
      <c r="F54" s="6" t="s">
        <v>38</v>
      </c>
      <c r="G54" s="7" t="s">
        <v>39</v>
      </c>
      <c r="H54" s="7"/>
      <c r="I54" s="7"/>
      <c r="J54" s="7" t="s">
        <v>39</v>
      </c>
      <c r="K54" s="7"/>
      <c r="L54" s="7"/>
      <c r="M54" s="7"/>
      <c r="N54" s="7" t="s">
        <v>210</v>
      </c>
      <c r="O54" s="8" t="str">
        <f t="shared" si="1"/>
        <v>OK</v>
      </c>
    </row>
    <row r="55" spans="1:15" ht="25.5" x14ac:dyDescent="0.25">
      <c r="A55" s="6" t="s">
        <v>127</v>
      </c>
      <c r="B55" s="6" t="s">
        <v>101</v>
      </c>
      <c r="C55" s="6" t="s">
        <v>124</v>
      </c>
      <c r="D55" s="6" t="s">
        <v>125</v>
      </c>
      <c r="E55" s="6" t="s">
        <v>53</v>
      </c>
      <c r="F55" s="6" t="s">
        <v>54</v>
      </c>
      <c r="G55" s="7" t="s">
        <v>39</v>
      </c>
      <c r="H55" s="7"/>
      <c r="I55" s="7"/>
      <c r="J55" s="7" t="s">
        <v>39</v>
      </c>
      <c r="K55" s="7"/>
      <c r="L55" s="7"/>
      <c r="M55" s="7"/>
      <c r="N55" s="7" t="s">
        <v>211</v>
      </c>
      <c r="O55" s="8" t="str">
        <f t="shared" si="1"/>
        <v>OK</v>
      </c>
    </row>
    <row r="56" spans="1:15" ht="38.25" x14ac:dyDescent="0.25">
      <c r="A56" s="6" t="s">
        <v>128</v>
      </c>
      <c r="B56" s="6" t="s">
        <v>101</v>
      </c>
      <c r="C56" s="6" t="s">
        <v>124</v>
      </c>
      <c r="D56" s="6" t="s">
        <v>125</v>
      </c>
      <c r="E56" s="6" t="s">
        <v>56</v>
      </c>
      <c r="F56" s="6" t="s">
        <v>57</v>
      </c>
      <c r="G56" s="7" t="s">
        <v>39</v>
      </c>
      <c r="H56" s="7"/>
      <c r="I56" s="7"/>
      <c r="J56" s="7" t="s">
        <v>39</v>
      </c>
      <c r="K56" s="7"/>
      <c r="L56" s="7"/>
      <c r="M56" s="7"/>
      <c r="N56" s="7" t="s">
        <v>212</v>
      </c>
      <c r="O56" s="8" t="str">
        <f t="shared" si="1"/>
        <v>OK</v>
      </c>
    </row>
    <row r="57" spans="1:15" ht="25.5" x14ac:dyDescent="0.25">
      <c r="A57" s="6" t="s">
        <v>129</v>
      </c>
      <c r="B57" s="6" t="s">
        <v>101</v>
      </c>
      <c r="C57" s="6" t="s">
        <v>124</v>
      </c>
      <c r="D57" s="6" t="s">
        <v>125</v>
      </c>
      <c r="E57" s="6" t="s">
        <v>59</v>
      </c>
      <c r="F57" s="6" t="s">
        <v>60</v>
      </c>
      <c r="G57" s="7" t="s">
        <v>39</v>
      </c>
      <c r="H57" s="7"/>
      <c r="I57" s="7"/>
      <c r="J57" s="7" t="s">
        <v>39</v>
      </c>
      <c r="K57" s="7"/>
      <c r="L57" s="7"/>
      <c r="M57" s="7"/>
      <c r="N57" s="7" t="s">
        <v>177</v>
      </c>
      <c r="O57" s="8" t="str">
        <f t="shared" si="1"/>
        <v>OK</v>
      </c>
    </row>
    <row r="58" spans="1:15" ht="38.25" x14ac:dyDescent="0.25">
      <c r="A58" s="6" t="s">
        <v>130</v>
      </c>
      <c r="B58" s="6" t="s">
        <v>101</v>
      </c>
      <c r="C58" s="6" t="s">
        <v>124</v>
      </c>
      <c r="D58" s="6" t="s">
        <v>125</v>
      </c>
      <c r="E58" s="6" t="s">
        <v>62</v>
      </c>
      <c r="F58" s="6" t="s">
        <v>63</v>
      </c>
      <c r="G58" s="7" t="s">
        <v>39</v>
      </c>
      <c r="H58" s="7"/>
      <c r="I58" s="7"/>
      <c r="J58" s="7" t="s">
        <v>39</v>
      </c>
      <c r="K58" s="7"/>
      <c r="L58" s="7"/>
      <c r="M58" s="7"/>
      <c r="N58" s="7" t="s">
        <v>213</v>
      </c>
      <c r="O58" s="8" t="str">
        <f t="shared" si="1"/>
        <v>OK</v>
      </c>
    </row>
    <row r="59" spans="1:15" ht="25.5" x14ac:dyDescent="0.25">
      <c r="A59" s="6" t="s">
        <v>131</v>
      </c>
      <c r="B59" s="6" t="s">
        <v>101</v>
      </c>
      <c r="C59" s="6" t="s">
        <v>124</v>
      </c>
      <c r="D59" s="6" t="s">
        <v>125</v>
      </c>
      <c r="E59" s="6" t="s">
        <v>65</v>
      </c>
      <c r="F59" s="6" t="s">
        <v>66</v>
      </c>
      <c r="G59" s="7" t="s">
        <v>39</v>
      </c>
      <c r="H59" s="7"/>
      <c r="I59" s="7"/>
      <c r="J59" s="7" t="s">
        <v>39</v>
      </c>
      <c r="K59" s="7"/>
      <c r="L59" s="7"/>
      <c r="M59" s="7"/>
      <c r="N59" s="7" t="s">
        <v>214</v>
      </c>
      <c r="O59" s="8" t="str">
        <f t="shared" si="1"/>
        <v>OK</v>
      </c>
    </row>
    <row r="60" spans="1:15" ht="38.25" x14ac:dyDescent="0.25">
      <c r="A60" s="6" t="s">
        <v>132</v>
      </c>
      <c r="B60" s="6" t="s">
        <v>101</v>
      </c>
      <c r="C60" s="6" t="s">
        <v>124</v>
      </c>
      <c r="D60" s="6" t="s">
        <v>125</v>
      </c>
      <c r="E60" s="6" t="s">
        <v>68</v>
      </c>
      <c r="F60" s="6" t="s">
        <v>69</v>
      </c>
      <c r="G60" s="7" t="s">
        <v>39</v>
      </c>
      <c r="H60" s="7"/>
      <c r="I60" s="7"/>
      <c r="J60" s="7" t="s">
        <v>39</v>
      </c>
      <c r="K60" s="7"/>
      <c r="L60" s="7"/>
      <c r="M60" s="7"/>
      <c r="N60" s="7" t="s">
        <v>215</v>
      </c>
      <c r="O60" s="8" t="str">
        <f t="shared" si="1"/>
        <v>OK</v>
      </c>
    </row>
    <row r="61" spans="1:15" ht="63.75" x14ac:dyDescent="0.25">
      <c r="A61" s="6" t="s">
        <v>133</v>
      </c>
      <c r="B61" s="6" t="s">
        <v>101</v>
      </c>
      <c r="C61" s="6" t="s">
        <v>124</v>
      </c>
      <c r="D61" s="6" t="s">
        <v>125</v>
      </c>
      <c r="E61" s="6" t="s">
        <v>71</v>
      </c>
      <c r="F61" s="6" t="s">
        <v>72</v>
      </c>
      <c r="G61" s="7" t="s">
        <v>39</v>
      </c>
      <c r="H61" s="7"/>
      <c r="I61" s="7"/>
      <c r="J61" s="7" t="s">
        <v>40</v>
      </c>
      <c r="K61" s="7" t="s">
        <v>216</v>
      </c>
      <c r="L61" s="7" t="s">
        <v>217</v>
      </c>
      <c r="M61" s="7" t="s">
        <v>218</v>
      </c>
      <c r="N61" s="7" t="s">
        <v>219</v>
      </c>
      <c r="O61" s="8" t="str">
        <f t="shared" si="1"/>
        <v>OK</v>
      </c>
    </row>
    <row r="62" spans="1:15" ht="38.25" x14ac:dyDescent="0.25">
      <c r="A62" s="6" t="s">
        <v>134</v>
      </c>
      <c r="B62" s="6" t="s">
        <v>101</v>
      </c>
      <c r="C62" s="6" t="s">
        <v>124</v>
      </c>
      <c r="D62" s="6" t="s">
        <v>125</v>
      </c>
      <c r="E62" s="6" t="s">
        <v>74</v>
      </c>
      <c r="F62" s="6" t="s">
        <v>75</v>
      </c>
      <c r="G62" s="7" t="s">
        <v>39</v>
      </c>
      <c r="H62" s="7"/>
      <c r="I62" s="7"/>
      <c r="J62" s="7" t="s">
        <v>39</v>
      </c>
      <c r="K62" s="7"/>
      <c r="L62" s="7"/>
      <c r="M62" s="7"/>
      <c r="N62" s="7" t="s">
        <v>220</v>
      </c>
      <c r="O62" s="8" t="str">
        <f t="shared" si="1"/>
        <v>OK</v>
      </c>
    </row>
  </sheetData>
  <dataValidations count="1">
    <dataValidation type="list" allowBlank="1" sqref="G3:G62 J3:J62" xr:uid="{00000000-0002-0000-0100-000000000000}">
      <formula1>"COMPUTABLE,NOT_COMPUTABLE"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ColWidth="8.7109375" defaultRowHeight="15" x14ac:dyDescent="0.25"/>
  <cols>
    <col min="1" max="1" width="42" customWidth="1"/>
    <col min="2" max="2" width="10" customWidth="1"/>
    <col min="3" max="3" width="34" customWidth="1"/>
  </cols>
  <sheetData>
    <row r="1" spans="1:3" x14ac:dyDescent="0.25">
      <c r="A1" s="9" t="s">
        <v>135</v>
      </c>
    </row>
    <row r="2" spans="1:3" x14ac:dyDescent="0.25">
      <c r="A2" s="10"/>
    </row>
    <row r="3" spans="1:3" x14ac:dyDescent="0.25">
      <c r="A3" s="10" t="s">
        <v>136</v>
      </c>
      <c r="B3" s="10">
        <f>SUMPRODUCT((Coding!G3:G62&lt;&gt;"")*(Coding!J3:J62&lt;&gt;""))</f>
        <v>60</v>
      </c>
      <c r="C3" s="11" t="s">
        <v>137</v>
      </c>
    </row>
    <row r="4" spans="1:3" x14ac:dyDescent="0.25">
      <c r="A4" s="10" t="s">
        <v>138</v>
      </c>
      <c r="B4" s="10">
        <f>COUNTIF(Coding!O3:O62,"OK")</f>
        <v>60</v>
      </c>
      <c r="C4" s="11" t="s">
        <v>139</v>
      </c>
    </row>
    <row r="5" spans="1:3" x14ac:dyDescent="0.25">
      <c r="A5" s="10" t="s">
        <v>140</v>
      </c>
      <c r="B5" s="10">
        <f>COUNTIF(Coding!G3:G62,"COMPUTABLE")</f>
        <v>0</v>
      </c>
      <c r="C5" s="11" t="s">
        <v>141</v>
      </c>
    </row>
    <row r="6" spans="1:3" x14ac:dyDescent="0.25">
      <c r="A6" s="10" t="s">
        <v>142</v>
      </c>
      <c r="B6" s="10">
        <f>COUNTIF(Coding!J3:J62,"COMPUTABLE")</f>
        <v>4</v>
      </c>
      <c r="C6" s="11" t="s">
        <v>141</v>
      </c>
    </row>
    <row r="7" spans="1:3" x14ac:dyDescent="0.25">
      <c r="A7" s="10" t="s">
        <v>143</v>
      </c>
      <c r="B7" s="10">
        <f>COUNTIFS(Coding!B3:B62,"2024",Coding!G3:G62,"COMPUTABLE")</f>
        <v>0</v>
      </c>
      <c r="C7" s="11" t="s">
        <v>144</v>
      </c>
    </row>
    <row r="8" spans="1:3" x14ac:dyDescent="0.25">
      <c r="A8" s="10" t="s">
        <v>145</v>
      </c>
      <c r="B8" s="10">
        <f>COUNTIFS(Coding!B3:B62,"2025-26",Coding!G3:G62,"COMPUTABLE")</f>
        <v>0</v>
      </c>
      <c r="C8" s="11" t="s">
        <v>144</v>
      </c>
    </row>
    <row r="9" spans="1:3" x14ac:dyDescent="0.25">
      <c r="A9" s="10" t="s">
        <v>146</v>
      </c>
      <c r="B9" s="10">
        <f>COUNTIFS(Coding!B3:B62,"2024",Coding!J3:J62,"COMPUTABLE")</f>
        <v>1</v>
      </c>
      <c r="C9" s="11" t="s">
        <v>144</v>
      </c>
    </row>
    <row r="10" spans="1:3" x14ac:dyDescent="0.25">
      <c r="A10" s="10" t="s">
        <v>147</v>
      </c>
      <c r="B10" s="10">
        <f>COUNTIFS(Coding!B3:B62,"2025-26",Coding!J3:J62,"COMPUTABLE")</f>
        <v>3</v>
      </c>
      <c r="C10" s="1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Coding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Corona</dc:creator>
  <cp:lastModifiedBy>Pablo Corona</cp:lastModifiedBy>
  <dcterms:created xsi:type="dcterms:W3CDTF">2026-07-13T21:29:49Z</dcterms:created>
  <dcterms:modified xsi:type="dcterms:W3CDTF">2026-07-13T21:29:49Z</dcterms:modified>
</cp:coreProperties>
</file>